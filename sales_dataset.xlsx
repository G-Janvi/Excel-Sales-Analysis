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2d4880fc566e3a14/Documents/"/>
    </mc:Choice>
  </mc:AlternateContent>
  <xr:revisionPtr revIDLastSave="0" documentId="8_{E6DEA6C2-4716-4BBD-BF5B-63C324336035}" xr6:coauthVersionLast="47" xr6:coauthVersionMax="47" xr10:uidLastSave="{00000000-0000-0000-0000-000000000000}"/>
  <bookViews>
    <workbookView xWindow="-108" yWindow="-108" windowWidth="23256" windowHeight="12456" activeTab="3" xr2:uid="{00000000-000D-0000-FFFF-FFFF00000000}"/>
  </bookViews>
  <sheets>
    <sheet name="Raw sales data" sheetId="1" r:id="rId1"/>
    <sheet name="Cleaned sales data" sheetId="3" r:id="rId2"/>
    <sheet name="Pivort Tables" sheetId="4" r:id="rId3"/>
    <sheet name="Dashboard" sheetId="2" r:id="rId4"/>
  </sheets>
  <definedNames>
    <definedName name="Slicer_Category">#N/A</definedName>
    <definedName name="Slicer_Product">#N/A</definedName>
    <definedName name="Slicer_Region">#N/A</definedName>
  </definedNames>
  <calcPr calcId="191029"/>
  <pivotCaches>
    <pivotCache cacheId="13" r:id="rId5"/>
  </pivotCaches>
  <extLst>
    <ext xmlns:x14="http://schemas.microsoft.com/office/spreadsheetml/2009/9/main" uri="{876F7934-8845-4945-9796-88D515C7AA90}">
      <x14:pivotCaches>
        <pivotCache cacheId="0" r:id="rId6"/>
      </x14:pivotCaches>
    </ex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3" i="2" l="1"/>
  <c r="A72" i="2"/>
  <c r="A71" i="2"/>
  <c r="G202" i="3"/>
  <c r="F202" i="3"/>
  <c r="E202" i="3"/>
  <c r="H52" i="3"/>
  <c r="H152" i="3"/>
  <c r="H102" i="3"/>
  <c r="H2" i="3"/>
  <c r="H53" i="3"/>
  <c r="H153" i="3"/>
  <c r="H103" i="3"/>
  <c r="H3" i="3"/>
  <c r="H54" i="3"/>
  <c r="H154" i="3"/>
  <c r="H104" i="3"/>
  <c r="H4" i="3"/>
  <c r="H55" i="3"/>
  <c r="H155" i="3"/>
  <c r="H105" i="3"/>
  <c r="H5" i="3"/>
  <c r="H56" i="3"/>
  <c r="H156" i="3"/>
  <c r="H106" i="3"/>
  <c r="H6" i="3"/>
  <c r="H57" i="3"/>
  <c r="H157" i="3"/>
  <c r="H107" i="3"/>
  <c r="H7" i="3"/>
  <c r="H58" i="3"/>
  <c r="H158" i="3"/>
  <c r="H108" i="3"/>
  <c r="H8" i="3"/>
  <c r="H59" i="3"/>
  <c r="H159" i="3"/>
  <c r="H109" i="3"/>
  <c r="H9" i="3"/>
  <c r="H60" i="3"/>
  <c r="H160" i="3"/>
  <c r="H110" i="3"/>
  <c r="H10" i="3"/>
  <c r="H61" i="3"/>
  <c r="H161" i="3"/>
  <c r="H111" i="3"/>
  <c r="H11" i="3"/>
  <c r="H62" i="3"/>
  <c r="H162" i="3"/>
  <c r="H112" i="3"/>
  <c r="H12" i="3"/>
  <c r="H63" i="3"/>
  <c r="H163" i="3"/>
  <c r="H113" i="3"/>
  <c r="H13" i="3"/>
  <c r="H64" i="3"/>
  <c r="H164" i="3"/>
  <c r="H114" i="3"/>
  <c r="H14" i="3"/>
  <c r="H65" i="3"/>
  <c r="H165" i="3"/>
  <c r="H115" i="3"/>
  <c r="H15" i="3"/>
  <c r="H66" i="3"/>
  <c r="H166" i="3"/>
  <c r="H116" i="3"/>
  <c r="H16" i="3"/>
  <c r="H67" i="3"/>
  <c r="H167" i="3"/>
  <c r="H117" i="3"/>
  <c r="H17" i="3"/>
  <c r="H68" i="3"/>
  <c r="H168" i="3"/>
  <c r="H118" i="3"/>
  <c r="H18" i="3"/>
  <c r="H69" i="3"/>
  <c r="H169" i="3"/>
  <c r="H119" i="3"/>
  <c r="H19" i="3"/>
  <c r="H70" i="3"/>
  <c r="H170" i="3"/>
  <c r="H120" i="3"/>
  <c r="H20" i="3"/>
  <c r="H71" i="3"/>
  <c r="H171" i="3"/>
  <c r="H121" i="3"/>
  <c r="H21" i="3"/>
  <c r="H72" i="3"/>
  <c r="H172" i="3"/>
  <c r="H122" i="3"/>
  <c r="H22" i="3"/>
  <c r="H73" i="3"/>
  <c r="H173" i="3"/>
  <c r="H123" i="3"/>
  <c r="H23" i="3"/>
  <c r="H74" i="3"/>
  <c r="H174" i="3"/>
  <c r="H124" i="3"/>
  <c r="H24" i="3"/>
  <c r="H75" i="3"/>
  <c r="H175" i="3"/>
  <c r="H125" i="3"/>
  <c r="H25" i="3"/>
  <c r="H76" i="3"/>
  <c r="H176" i="3"/>
  <c r="H126" i="3"/>
  <c r="H26" i="3"/>
  <c r="H77" i="3"/>
  <c r="H177" i="3"/>
  <c r="H127" i="3"/>
  <c r="H27" i="3"/>
  <c r="H78" i="3"/>
  <c r="H178" i="3"/>
  <c r="H128" i="3"/>
  <c r="H28" i="3"/>
  <c r="H79" i="3"/>
  <c r="H179" i="3"/>
  <c r="H129" i="3"/>
  <c r="H29" i="3"/>
  <c r="H80" i="3"/>
  <c r="H180" i="3"/>
  <c r="H130" i="3"/>
  <c r="H30" i="3"/>
  <c r="H81" i="3"/>
  <c r="H181" i="3"/>
  <c r="H131" i="3"/>
  <c r="H31" i="3"/>
  <c r="H82" i="3"/>
  <c r="H182" i="3"/>
  <c r="H132" i="3"/>
  <c r="H32" i="3"/>
  <c r="H83" i="3"/>
  <c r="H183" i="3"/>
  <c r="H133" i="3"/>
  <c r="H33" i="3"/>
  <c r="H84" i="3"/>
  <c r="H184" i="3"/>
  <c r="H134" i="3"/>
  <c r="H34" i="3"/>
  <c r="H85" i="3"/>
  <c r="H185" i="3"/>
  <c r="H135" i="3"/>
  <c r="H35" i="3"/>
  <c r="H86" i="3"/>
  <c r="H186" i="3"/>
  <c r="H136" i="3"/>
  <c r="H36" i="3"/>
  <c r="H87" i="3"/>
  <c r="H187" i="3"/>
  <c r="H137" i="3"/>
  <c r="H37" i="3"/>
  <c r="H88" i="3"/>
  <c r="H188" i="3"/>
  <c r="H138" i="3"/>
  <c r="H38" i="3"/>
  <c r="H89" i="3"/>
  <c r="H189" i="3"/>
  <c r="H139" i="3"/>
  <c r="H39" i="3"/>
  <c r="H90" i="3"/>
  <c r="H190" i="3"/>
  <c r="H140" i="3"/>
  <c r="H40" i="3"/>
  <c r="H91" i="3"/>
  <c r="H191" i="3"/>
  <c r="H141" i="3"/>
  <c r="H41" i="3"/>
  <c r="H92" i="3"/>
  <c r="H192" i="3"/>
  <c r="H142" i="3"/>
  <c r="H42" i="3"/>
  <c r="H93" i="3"/>
  <c r="H193" i="3"/>
  <c r="H143" i="3"/>
  <c r="H43" i="3"/>
  <c r="H94" i="3"/>
  <c r="H194" i="3"/>
  <c r="H144" i="3"/>
  <c r="H44" i="3"/>
  <c r="H95" i="3"/>
  <c r="H195" i="3"/>
  <c r="H145" i="3"/>
  <c r="H45" i="3"/>
  <c r="H96" i="3"/>
  <c r="H196" i="3"/>
  <c r="H146" i="3"/>
  <c r="H46" i="3"/>
  <c r="H97" i="3"/>
  <c r="H197" i="3"/>
  <c r="H147" i="3"/>
  <c r="H47" i="3"/>
  <c r="H98" i="3"/>
  <c r="H198" i="3"/>
  <c r="H148" i="3"/>
  <c r="H48" i="3"/>
  <c r="H99" i="3"/>
  <c r="H199" i="3"/>
  <c r="H149" i="3"/>
  <c r="H49" i="3"/>
  <c r="H100" i="3"/>
  <c r="H200" i="3"/>
  <c r="H150" i="3"/>
  <c r="H50" i="3"/>
  <c r="H101" i="3"/>
  <c r="H201" i="3"/>
  <c r="H151" i="3"/>
  <c r="H51" i="3"/>
  <c r="H202" i="3" l="1"/>
</calcChain>
</file>

<file path=xl/sharedStrings.xml><?xml version="1.0" encoding="utf-8"?>
<sst xmlns="http://schemas.openxmlformats.org/spreadsheetml/2006/main" count="1260" uniqueCount="38">
  <si>
    <t>Date</t>
  </si>
  <si>
    <t>Region</t>
  </si>
  <si>
    <t>Category</t>
  </si>
  <si>
    <t>Product</t>
  </si>
  <si>
    <t>Units_Sold</t>
  </si>
  <si>
    <t>Unit_Price</t>
  </si>
  <si>
    <t>Total_Sales</t>
  </si>
  <si>
    <t>North</t>
  </si>
  <si>
    <t>South</t>
  </si>
  <si>
    <t>East</t>
  </si>
  <si>
    <t>West</t>
  </si>
  <si>
    <t>Electronics</t>
  </si>
  <si>
    <t>Clothing</t>
  </si>
  <si>
    <t>Grocery</t>
  </si>
  <si>
    <t>Home Decor</t>
  </si>
  <si>
    <t>Laptop</t>
  </si>
  <si>
    <t>Shirt</t>
  </si>
  <si>
    <t>Rice</t>
  </si>
  <si>
    <t>Cushion</t>
  </si>
  <si>
    <t>Profit</t>
  </si>
  <si>
    <t>Sum of Total_Sales</t>
  </si>
  <si>
    <t>Grand Total</t>
  </si>
  <si>
    <t>Jan</t>
  </si>
  <si>
    <t>Feb</t>
  </si>
  <si>
    <t>Mar</t>
  </si>
  <si>
    <t>Apr</t>
  </si>
  <si>
    <t>May</t>
  </si>
  <si>
    <t>Jun</t>
  </si>
  <si>
    <t>Jul</t>
  </si>
  <si>
    <t>Row Labels</t>
  </si>
  <si>
    <t>Sum of Units_Sold</t>
  </si>
  <si>
    <t>Sales by Month</t>
  </si>
  <si>
    <t>Sales Analytics Dashboard</t>
  </si>
  <si>
    <t xml:space="preserve">KPI  Card </t>
  </si>
  <si>
    <t>Sales by Category</t>
  </si>
  <si>
    <t>Sales by Region</t>
  </si>
  <si>
    <t>Sales by Product</t>
  </si>
  <si>
    <t>Unit Sold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</si>
</sst>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yyyy\-mm\-dd\ hh:mm:ss"/>
    <numFmt numFmtId="165" formatCode="_(* #,##0_);_(* \(#,##0\);_(* &quot;-&quot;??_);_(@_)"/>
    <numFmt numFmtId="168" formatCode="_(&quot;$&quot;* #,##0_);_(&quot;$&quot;* \(#,##0\);_(&quot;$&quot;* &quot;-&quot;??_);_(@_)"/>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4"/>
      <color theme="1"/>
      <name val="Times New Roman"/>
      <family val="1"/>
    </font>
    <font>
      <b/>
      <sz val="14"/>
      <color theme="1"/>
      <name val="Times New Roman"/>
      <family val="1"/>
    </font>
    <font>
      <sz val="14"/>
      <color theme="1"/>
      <name val="Calibri"/>
      <family val="2"/>
      <scheme val="minor"/>
    </font>
    <font>
      <sz val="20"/>
      <color theme="1"/>
      <name val="Calibri"/>
      <family val="2"/>
      <scheme val="minor"/>
    </font>
    <font>
      <b/>
      <sz val="20"/>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theme="0"/>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auto="1"/>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4" fontId="1" fillId="0" borderId="1" xfId="0" applyNumberFormat="1" applyFont="1" applyBorder="1" applyAlignment="1">
      <alignment horizontal="center" vertical="top"/>
    </xf>
    <xf numFmtId="0" fontId="1" fillId="0" borderId="0" xfId="0" applyFont="1"/>
    <xf numFmtId="0" fontId="3" fillId="0" borderId="0" xfId="0" applyFont="1"/>
    <xf numFmtId="0" fontId="5" fillId="0" borderId="0" xfId="0" applyFont="1"/>
    <xf numFmtId="0" fontId="6" fillId="0" borderId="0" xfId="0" applyFont="1"/>
    <xf numFmtId="165" fontId="0" fillId="0" borderId="0" xfId="1" applyNumberFormat="1" applyFont="1"/>
    <xf numFmtId="0" fontId="4" fillId="3" borderId="0" xfId="0" applyFont="1" applyFill="1" applyAlignment="1">
      <alignment horizontal="center"/>
    </xf>
    <xf numFmtId="0" fontId="4" fillId="4" borderId="0" xfId="0" applyFont="1" applyFill="1" applyAlignment="1">
      <alignment horizontal="center"/>
    </xf>
    <xf numFmtId="0" fontId="7" fillId="5" borderId="0" xfId="0" applyFont="1" applyFill="1" applyAlignment="1">
      <alignment horizontal="center"/>
    </xf>
    <xf numFmtId="0" fontId="0" fillId="0" borderId="0" xfId="0" applyAlignment="1">
      <alignment horizontal="left"/>
    </xf>
    <xf numFmtId="0" fontId="0" fillId="0" borderId="0" xfId="0" applyNumberFormat="1"/>
    <xf numFmtId="0" fontId="0" fillId="2" borderId="2" xfId="0" applyFill="1" applyBorder="1"/>
    <xf numFmtId="0" fontId="0" fillId="2" borderId="3" xfId="0" applyFill="1" applyBorder="1" applyAlignment="1">
      <alignment horizontal="left"/>
    </xf>
    <xf numFmtId="0" fontId="0" fillId="2" borderId="3" xfId="0" applyNumberFormat="1" applyFill="1" applyBorder="1"/>
    <xf numFmtId="168" fontId="0" fillId="0" borderId="0" xfId="2" applyNumberFormat="1" applyFont="1"/>
    <xf numFmtId="0" fontId="8" fillId="0" borderId="0" xfId="0" applyFont="1"/>
  </cellXfs>
  <cellStyles count="3">
    <cellStyle name="Comma" xfId="1" builtinId="3"/>
    <cellStyle name="Currency" xfId="2" builtinId="4"/>
    <cellStyle name="Normal" xfId="0" builtinId="0"/>
  </cellStyles>
  <dxfs count="24">
    <dxf>
      <border>
        <top style="medium">
          <color auto="1"/>
        </top>
      </border>
    </dxf>
    <dxf>
      <border>
        <top style="medium">
          <color auto="1"/>
        </top>
      </border>
    </dxf>
    <dxf>
      <border>
        <bottom style="medium">
          <color indexed="64"/>
        </bottom>
      </border>
    </dxf>
    <dxf>
      <border>
        <bottom style="medium">
          <color indexed="64"/>
        </bottom>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pPr>
            <a:solidFill>
              <a:schemeClr val="accent4"/>
            </a:solidFill>
            <a:ln w="9525">
              <a:solidFill>
                <a:schemeClr val="accent4"/>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Laptop</c:v>
              </c:pt>
              <c:pt idx="1">
                <c:v>Shirt</c:v>
              </c:pt>
              <c:pt idx="2">
                <c:v>Cushion</c:v>
              </c:pt>
              <c:pt idx="3">
                <c:v>Rice</c:v>
              </c:pt>
            </c:strLit>
          </c:cat>
          <c:val>
            <c:numLit>
              <c:formatCode>General</c:formatCode>
              <c:ptCount val="4"/>
              <c:pt idx="0">
                <c:v>12500000</c:v>
              </c:pt>
              <c:pt idx="1">
                <c:v>320000</c:v>
              </c:pt>
              <c:pt idx="2">
                <c:v>45000</c:v>
              </c:pt>
              <c:pt idx="3">
                <c:v>36000</c:v>
              </c:pt>
            </c:numLit>
          </c:val>
          <c:extLst>
            <c:ext xmlns:c16="http://schemas.microsoft.com/office/drawing/2014/chart" uri="{C3380CC4-5D6E-409C-BE32-E72D297353CC}">
              <c16:uniqueId val="{00000000-B4FC-42BA-BCD1-24239468FFFC}"/>
            </c:ext>
          </c:extLst>
        </c:ser>
        <c:dLbls>
          <c:dLblPos val="outEnd"/>
          <c:showLegendKey val="0"/>
          <c:showVal val="1"/>
          <c:showCatName val="0"/>
          <c:showSerName val="0"/>
          <c:showPercent val="0"/>
          <c:showBubbleSize val="0"/>
        </c:dLbls>
        <c:gapWidth val="219"/>
        <c:overlap val="-27"/>
        <c:axId val="976756960"/>
        <c:axId val="976755040"/>
      </c:barChart>
      <c:catAx>
        <c:axId val="9767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5040"/>
        <c:crosses val="autoZero"/>
        <c:auto val="1"/>
        <c:lblAlgn val="ctr"/>
        <c:lblOffset val="100"/>
        <c:noMultiLvlLbl val="0"/>
      </c:catAx>
      <c:valAx>
        <c:axId val="9767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36000</c:v>
              </c:pt>
              <c:pt idx="1">
                <c:v>12500000</c:v>
              </c:pt>
              <c:pt idx="2">
                <c:v>320000</c:v>
              </c:pt>
              <c:pt idx="3">
                <c:v>45000</c:v>
              </c:pt>
            </c:numLit>
          </c:val>
          <c:extLst>
            <c:ext xmlns:c16="http://schemas.microsoft.com/office/drawing/2014/chart" uri="{C3380CC4-5D6E-409C-BE32-E72D297353CC}">
              <c16:uniqueId val="{00000000-09F7-4739-95B5-29DF9AECEBB9}"/>
            </c:ext>
          </c:extLst>
        </c:ser>
        <c:dLbls>
          <c:showLegendKey val="0"/>
          <c:showVal val="0"/>
          <c:showCatName val="0"/>
          <c:showSerName val="0"/>
          <c:showPercent val="0"/>
          <c:showBubbleSize val="0"/>
        </c:dLbls>
        <c:gapWidth val="182"/>
        <c:axId val="976799680"/>
        <c:axId val="976799200"/>
      </c:barChart>
      <c:catAx>
        <c:axId val="97679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99200"/>
        <c:crosses val="autoZero"/>
        <c:auto val="1"/>
        <c:lblAlgn val="ctr"/>
        <c:lblOffset val="100"/>
        <c:noMultiLvlLbl val="0"/>
      </c:catAx>
      <c:valAx>
        <c:axId val="97679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Units Sold by Category</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4"/>
              <c:pt idx="0">
                <c:v>Clothing</c:v>
              </c:pt>
              <c:pt idx="1">
                <c:v>Electronics</c:v>
              </c:pt>
              <c:pt idx="2">
                <c:v>Grocery</c:v>
              </c:pt>
              <c:pt idx="3">
                <c:v>Home Decor</c:v>
              </c:pt>
            </c:strLit>
          </c:cat>
          <c:val>
            <c:numLit>
              <c:formatCode>General</c:formatCode>
              <c:ptCount val="4"/>
              <c:pt idx="0">
                <c:v>400</c:v>
              </c:pt>
              <c:pt idx="1">
                <c:v>250</c:v>
              </c:pt>
              <c:pt idx="2">
                <c:v>600</c:v>
              </c:pt>
              <c:pt idx="3">
                <c:v>150</c:v>
              </c:pt>
            </c:numLit>
          </c:val>
          <c:extLst>
            <c:ext xmlns:c16="http://schemas.microsoft.com/office/drawing/2014/chart" uri="{C3380CC4-5D6E-409C-BE32-E72D297353CC}">
              <c16:uniqueId val="{00000000-2FA0-4E1D-AC83-D44F5EEE0A3A}"/>
            </c:ext>
          </c:extLst>
        </c:ser>
        <c:dLbls>
          <c:showLegendKey val="0"/>
          <c:showVal val="0"/>
          <c:showCatName val="0"/>
          <c:showSerName val="0"/>
          <c:showPercent val="0"/>
          <c:showBubbleSize val="0"/>
        </c:dLbls>
        <c:gapWidth val="182"/>
        <c:axId val="976739200"/>
        <c:axId val="976759360"/>
      </c:barChart>
      <c:catAx>
        <c:axId val="97673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9360"/>
        <c:crosses val="autoZero"/>
        <c:auto val="1"/>
        <c:lblAlgn val="ctr"/>
        <c:lblOffset val="100"/>
        <c:noMultiLvlLbl val="0"/>
      </c:catAx>
      <c:valAx>
        <c:axId val="97675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3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[sales_dataset.xlsx]Pivort Tables!PivotTable3</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Sales by Monthl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Tables'!$B$3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'Pivort Tables'!$A$4:$A$11</c:f>
              <c:strCache>
                <c:ptCount val="7"/>
                <c:pt idx="0">
                  <c:v>Jan</c:v>
                </c:pt>
                <c:pt idx="1">
                  <c:v>Feb</c:v>
                </c:pt>
                <c:pt idx="2">
                  <c:v>Mar</c:v>
                </c:pt>
                <c:pt idx="3">
                  <c:v>Apr</c:v>
                </c:pt>
                <c:pt idx="4">
                  <c:v>May</c:v>
                </c:pt>
                <c:pt idx="5">
                  <c:v>Jun</c:v>
                </c:pt>
                <c:pt idx="6">
                  <c:v>Jul</c:v>
                </c:pt>
              </c:strCache>
            </c:strRef>
          </c:cat>
          <c:val>
            <c:numRef>
              <c:f>'Pivort Tables'!$B$4:$B$11</c:f>
              <c:numCache>
                <c:formatCode>General</c:formatCode>
                <c:ptCount val="7"/>
                <c:pt idx="0">
                  <c:v>2063260</c:v>
                </c:pt>
                <c:pt idx="1">
                  <c:v>1806140</c:v>
                </c:pt>
                <c:pt idx="2">
                  <c:v>2063440</c:v>
                </c:pt>
                <c:pt idx="3">
                  <c:v>1807760</c:v>
                </c:pt>
                <c:pt idx="4">
                  <c:v>2063260</c:v>
                </c:pt>
                <c:pt idx="5">
                  <c:v>2057040</c:v>
                </c:pt>
                <c:pt idx="6">
                  <c:v>1040100</c:v>
                </c:pt>
              </c:numCache>
            </c:numRef>
          </c:val>
          <c:smooth val="0"/>
          <c:extLst>
            <c:ext xmlns:c16="http://schemas.microsoft.com/office/drawing/2014/chart" uri="{C3380CC4-5D6E-409C-BE32-E72D297353CC}">
              <c16:uniqueId val="{00000000-B000-410A-A147-C934C4ECE34F}"/>
            </c:ext>
          </c:extLst>
        </c:ser>
        <c:dLbls>
          <c:showLegendKey val="0"/>
          <c:showVal val="0"/>
          <c:showCatName val="0"/>
          <c:showSerName val="0"/>
          <c:showPercent val="0"/>
          <c:showBubbleSize val="0"/>
        </c:dLbls>
        <c:marker val="1"/>
        <c:smooth val="0"/>
        <c:axId val="1966629727"/>
        <c:axId val="1966630687"/>
      </c:lineChart>
      <c:catAx>
        <c:axId val="196662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6630687"/>
        <c:crosses val="autoZero"/>
        <c:auto val="1"/>
        <c:lblAlgn val="ctr"/>
        <c:lblOffset val="100"/>
        <c:noMultiLvlLbl val="0"/>
      </c:catAx>
      <c:valAx>
        <c:axId val="196663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662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[sales_dataset.xlsx]Pivort Tables!PivotTable4</c:name>
    <c:fmtId val="1"/>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'Pivort Tables'!$E$3</c:f>
              <c:strCache>
                <c:ptCount val="1"/>
                <c:pt idx="0">
                  <c:v>Total</c:v>
                </c:pt>
              </c:strCache>
            </c:strRef>
          </c:tx>
          <c:dPt>
            <c:idx val="0"/>
            <c:bubble3D val="0"/>
            <c:spPr>
              <a:solidFill>
                <a:schemeClr val="accent4">
                  <a:tint val="58000"/>
                </a:schemeClr>
              </a:solidFill>
              <a:ln w="19050">
                <a:solidFill>
                  <a:schemeClr val="lt1"/>
                </a:solidFill>
              </a:ln>
              <a:effectLst/>
            </c:spPr>
          </c:dPt>
          <c:dPt>
            <c:idx val="1"/>
            <c:bubble3D val="0"/>
            <c:spPr>
              <a:solidFill>
                <a:schemeClr val="accent4">
                  <a:tint val="86000"/>
                </a:schemeClr>
              </a:solidFill>
              <a:ln w="19050">
                <a:solidFill>
                  <a:schemeClr val="lt1"/>
                </a:solidFill>
              </a:ln>
              <a:effectLst/>
            </c:spPr>
          </c:dPt>
          <c:dPt>
            <c:idx val="2"/>
            <c:bubble3D val="0"/>
            <c:spPr>
              <a:solidFill>
                <a:schemeClr val="accent4">
                  <a:shade val="86000"/>
                </a:schemeClr>
              </a:solidFill>
              <a:ln w="19050">
                <a:solidFill>
                  <a:schemeClr val="lt1"/>
                </a:solidFill>
              </a:ln>
              <a:effectLst/>
            </c:spPr>
          </c:dPt>
          <c:dPt>
            <c:idx val="3"/>
            <c:bubble3D val="0"/>
            <c:spPr>
              <a:solidFill>
                <a:schemeClr val="accent4">
                  <a:shade val="58000"/>
                </a:schemeClr>
              </a:solidFill>
              <a:ln w="19050">
                <a:solidFill>
                  <a:schemeClr val="lt1"/>
                </a:solidFill>
              </a:ln>
              <a:effectLst/>
            </c:spPr>
          </c:dPt>
          <c:cat>
            <c:strRef>
              <c:f>'Pivort Tables'!$D$4:$D$8</c:f>
              <c:strCache>
                <c:ptCount val="4"/>
                <c:pt idx="0">
                  <c:v>Clothing</c:v>
                </c:pt>
                <c:pt idx="1">
                  <c:v>Electronics</c:v>
                </c:pt>
                <c:pt idx="2">
                  <c:v>Grocery</c:v>
                </c:pt>
                <c:pt idx="3">
                  <c:v>Home Decor</c:v>
                </c:pt>
              </c:strCache>
            </c:strRef>
          </c:cat>
          <c:val>
            <c:numRef>
              <c:f>'Pivort Tables'!$E$4:$E$8</c:f>
              <c:numCache>
                <c:formatCode>General</c:formatCode>
                <c:ptCount val="4"/>
                <c:pt idx="0">
                  <c:v>320000</c:v>
                </c:pt>
                <c:pt idx="1">
                  <c:v>12500000</c:v>
                </c:pt>
                <c:pt idx="2">
                  <c:v>36000</c:v>
                </c:pt>
                <c:pt idx="3">
                  <c:v>45000</c:v>
                </c:pt>
              </c:numCache>
            </c:numRef>
          </c:val>
          <c:extLst>
            <c:ext xmlns:c16="http://schemas.microsoft.com/office/drawing/2014/chart" uri="{C3380CC4-5D6E-409C-BE32-E72D297353CC}">
              <c16:uniqueId val="{00000000-8883-4CD4-B040-27779667EF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pPr>
            <a:solidFill>
              <a:schemeClr val="accent4"/>
            </a:solidFill>
            <a:ln w="9525">
              <a:solidFill>
                <a:schemeClr val="accent4"/>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Laptop</c:v>
              </c:pt>
              <c:pt idx="1">
                <c:v>Shirt</c:v>
              </c:pt>
              <c:pt idx="2">
                <c:v>Cushion</c:v>
              </c:pt>
              <c:pt idx="3">
                <c:v>Rice</c:v>
              </c:pt>
            </c:strLit>
          </c:cat>
          <c:val>
            <c:numLit>
              <c:formatCode>General</c:formatCode>
              <c:ptCount val="4"/>
              <c:pt idx="0">
                <c:v>12500000</c:v>
              </c:pt>
              <c:pt idx="1">
                <c:v>320000</c:v>
              </c:pt>
              <c:pt idx="2">
                <c:v>45000</c:v>
              </c:pt>
              <c:pt idx="3">
                <c:v>36000</c:v>
              </c:pt>
            </c:numLit>
          </c:val>
          <c:extLst>
            <c:ext xmlns:c16="http://schemas.microsoft.com/office/drawing/2014/chart" uri="{C3380CC4-5D6E-409C-BE32-E72D297353CC}">
              <c16:uniqueId val="{00000000-F5D2-4439-ACAD-3702CE912BC1}"/>
            </c:ext>
          </c:extLst>
        </c:ser>
        <c:dLbls>
          <c:dLblPos val="outEnd"/>
          <c:showLegendKey val="0"/>
          <c:showVal val="1"/>
          <c:showCatName val="0"/>
          <c:showSerName val="0"/>
          <c:showPercent val="0"/>
          <c:showBubbleSize val="0"/>
        </c:dLbls>
        <c:gapWidth val="219"/>
        <c:overlap val="-27"/>
        <c:axId val="976756960"/>
        <c:axId val="976755040"/>
      </c:barChart>
      <c:catAx>
        <c:axId val="97675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5040"/>
        <c:crosses val="autoZero"/>
        <c:auto val="1"/>
        <c:lblAlgn val="ctr"/>
        <c:lblOffset val="100"/>
        <c:noMultiLvlLbl val="0"/>
      </c:catAx>
      <c:valAx>
        <c:axId val="97675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Sales by Reion</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4"/>
              <c:pt idx="0">
                <c:v>East</c:v>
              </c:pt>
              <c:pt idx="1">
                <c:v>North</c:v>
              </c:pt>
              <c:pt idx="2">
                <c:v>South</c:v>
              </c:pt>
              <c:pt idx="3">
                <c:v>West</c:v>
              </c:pt>
            </c:strLit>
          </c:cat>
          <c:val>
            <c:numLit>
              <c:formatCode>General</c:formatCode>
              <c:ptCount val="4"/>
              <c:pt idx="0">
                <c:v>36000</c:v>
              </c:pt>
              <c:pt idx="1">
                <c:v>12500000</c:v>
              </c:pt>
              <c:pt idx="2">
                <c:v>320000</c:v>
              </c:pt>
              <c:pt idx="3">
                <c:v>45000</c:v>
              </c:pt>
            </c:numLit>
          </c:val>
          <c:extLst>
            <c:ext xmlns:c16="http://schemas.microsoft.com/office/drawing/2014/chart" uri="{C3380CC4-5D6E-409C-BE32-E72D297353CC}">
              <c16:uniqueId val="{00000000-4644-45A2-AB76-237C4B3ED78E}"/>
            </c:ext>
          </c:extLst>
        </c:ser>
        <c:dLbls>
          <c:showLegendKey val="0"/>
          <c:showVal val="0"/>
          <c:showCatName val="0"/>
          <c:showSerName val="0"/>
          <c:showPercent val="0"/>
          <c:showBubbleSize val="0"/>
        </c:dLbls>
        <c:gapWidth val="182"/>
        <c:axId val="976799680"/>
        <c:axId val="976799200"/>
      </c:barChart>
      <c:catAx>
        <c:axId val="97679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99200"/>
        <c:crosses val="autoZero"/>
        <c:auto val="1"/>
        <c:lblAlgn val="ctr"/>
        <c:lblOffset val="100"/>
        <c:noMultiLvlLbl val="0"/>
      </c:catAx>
      <c:valAx>
        <c:axId val="976799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t>Units Sold by Category</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cat>
            <c:strLit>
              <c:ptCount val="4"/>
              <c:pt idx="0">
                <c:v>Clothing</c:v>
              </c:pt>
              <c:pt idx="1">
                <c:v>Electronics</c:v>
              </c:pt>
              <c:pt idx="2">
                <c:v>Grocery</c:v>
              </c:pt>
              <c:pt idx="3">
                <c:v>Home Decor</c:v>
              </c:pt>
            </c:strLit>
          </c:cat>
          <c:val>
            <c:numLit>
              <c:formatCode>General</c:formatCode>
              <c:ptCount val="4"/>
              <c:pt idx="0">
                <c:v>400</c:v>
              </c:pt>
              <c:pt idx="1">
                <c:v>250</c:v>
              </c:pt>
              <c:pt idx="2">
                <c:v>600</c:v>
              </c:pt>
              <c:pt idx="3">
                <c:v>150</c:v>
              </c:pt>
            </c:numLit>
          </c:val>
          <c:extLst>
            <c:ext xmlns:c16="http://schemas.microsoft.com/office/drawing/2014/chart" uri="{C3380CC4-5D6E-409C-BE32-E72D297353CC}">
              <c16:uniqueId val="{00000000-2A3D-4728-BCD6-FE24746A4079}"/>
            </c:ext>
          </c:extLst>
        </c:ser>
        <c:dLbls>
          <c:showLegendKey val="0"/>
          <c:showVal val="0"/>
          <c:showCatName val="0"/>
          <c:showSerName val="0"/>
          <c:showPercent val="0"/>
          <c:showBubbleSize val="0"/>
        </c:dLbls>
        <c:gapWidth val="182"/>
        <c:axId val="976739200"/>
        <c:axId val="976759360"/>
      </c:barChart>
      <c:catAx>
        <c:axId val="976739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59360"/>
        <c:crosses val="autoZero"/>
        <c:auto val="1"/>
        <c:lblAlgn val="ctr"/>
        <c:lblOffset val="100"/>
        <c:noMultiLvlLbl val="0"/>
      </c:catAx>
      <c:valAx>
        <c:axId val="97675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97673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[sales_dataset.xlsx]Pivort Tables!PivotTable3</c:name>
    <c:fmtId val="2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Sales by Monthl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Tables'!$B$3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'Pivort Tables'!$A$4:$A$11</c:f>
              <c:strCache>
                <c:ptCount val="7"/>
                <c:pt idx="0">
                  <c:v>Jan</c:v>
                </c:pt>
                <c:pt idx="1">
                  <c:v>Feb</c:v>
                </c:pt>
                <c:pt idx="2">
                  <c:v>Mar</c:v>
                </c:pt>
                <c:pt idx="3">
                  <c:v>Apr</c:v>
                </c:pt>
                <c:pt idx="4">
                  <c:v>May</c:v>
                </c:pt>
                <c:pt idx="5">
                  <c:v>Jun</c:v>
                </c:pt>
                <c:pt idx="6">
                  <c:v>Jul</c:v>
                </c:pt>
              </c:strCache>
            </c:strRef>
          </c:cat>
          <c:val>
            <c:numRef>
              <c:f>'Pivort Tables'!$B$4:$B$11</c:f>
              <c:numCache>
                <c:formatCode>General</c:formatCode>
                <c:ptCount val="7"/>
                <c:pt idx="0">
                  <c:v>2063260</c:v>
                </c:pt>
                <c:pt idx="1">
                  <c:v>1806140</c:v>
                </c:pt>
                <c:pt idx="2">
                  <c:v>2063440</c:v>
                </c:pt>
                <c:pt idx="3">
                  <c:v>1807760</c:v>
                </c:pt>
                <c:pt idx="4">
                  <c:v>2063260</c:v>
                </c:pt>
                <c:pt idx="5">
                  <c:v>2057040</c:v>
                </c:pt>
                <c:pt idx="6">
                  <c:v>1040100</c:v>
                </c:pt>
              </c:numCache>
            </c:numRef>
          </c:val>
          <c:smooth val="0"/>
          <c:extLst>
            <c:ext xmlns:c16="http://schemas.microsoft.com/office/drawing/2014/chart" uri="{C3380CC4-5D6E-409C-BE32-E72D297353CC}">
              <c16:uniqueId val="{00000000-0020-44D8-B816-CD45ED236CAC}"/>
            </c:ext>
          </c:extLst>
        </c:ser>
        <c:dLbls>
          <c:showLegendKey val="0"/>
          <c:showVal val="0"/>
          <c:showCatName val="0"/>
          <c:showSerName val="0"/>
          <c:showPercent val="0"/>
          <c:showBubbleSize val="0"/>
        </c:dLbls>
        <c:marker val="1"/>
        <c:smooth val="0"/>
        <c:axId val="1966629727"/>
        <c:axId val="1966630687"/>
      </c:lineChart>
      <c:catAx>
        <c:axId val="196662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6630687"/>
        <c:crosses val="autoZero"/>
        <c:auto val="1"/>
        <c:lblAlgn val="ctr"/>
        <c:lblOffset val="100"/>
        <c:noMultiLvlLbl val="0"/>
      </c:catAx>
      <c:valAx>
        <c:axId val="196663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6662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[sales_dataset.xlsx]Pivort Tables!PivotTable4</c:name>
    <c:fmtId val="9"/>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tint val="58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shade val="86000"/>
            </a:schemeClr>
          </a:solidFill>
          <a:ln w="19050">
            <a:solidFill>
              <a:schemeClr val="lt1"/>
            </a:solidFill>
          </a:ln>
          <a:effectLst/>
        </c:spPr>
      </c:pivotFmt>
      <c:pivotFmt>
        <c:idx val="5"/>
        <c:spPr>
          <a:solidFill>
            <a:schemeClr val="accent4">
              <a:shade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tint val="58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shade val="86000"/>
            </a:schemeClr>
          </a:solidFill>
          <a:ln w="19050">
            <a:solidFill>
              <a:schemeClr val="lt1"/>
            </a:solidFill>
          </a:ln>
          <a:effectLst/>
        </c:spPr>
      </c:pivotFmt>
      <c:pivotFmt>
        <c:idx val="10"/>
        <c:spPr>
          <a:solidFill>
            <a:schemeClr val="accent4">
              <a:shade val="58000"/>
            </a:schemeClr>
          </a:solidFill>
          <a:ln w="19050">
            <a:solidFill>
              <a:schemeClr val="lt1"/>
            </a:solidFill>
          </a:ln>
          <a:effectLst/>
        </c:spPr>
      </c:pivotFmt>
    </c:pivotFmts>
    <c:plotArea>
      <c:layout/>
      <c:pieChart>
        <c:varyColors val="1"/>
        <c:ser>
          <c:idx val="0"/>
          <c:order val="0"/>
          <c:tx>
            <c:strRef>
              <c:f>'Pivort Tables'!$E$3</c:f>
              <c:strCache>
                <c:ptCount val="1"/>
                <c:pt idx="0">
                  <c:v>Total</c:v>
                </c:pt>
              </c:strCache>
            </c:strRef>
          </c:tx>
          <c:dPt>
            <c:idx val="0"/>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1-7605-4D84-8AB2-E3D3D741BCF1}"/>
              </c:ext>
            </c:extLst>
          </c:dPt>
          <c:dPt>
            <c:idx val="1"/>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3-7605-4D84-8AB2-E3D3D741BCF1}"/>
              </c:ext>
            </c:extLst>
          </c:dPt>
          <c:dPt>
            <c:idx val="2"/>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5-7605-4D84-8AB2-E3D3D741BCF1}"/>
              </c:ext>
            </c:extLst>
          </c:dPt>
          <c:dPt>
            <c:idx val="3"/>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7-7605-4D84-8AB2-E3D3D741BCF1}"/>
              </c:ext>
            </c:extLst>
          </c:dPt>
          <c:cat>
            <c:strRef>
              <c:f>'Pivort Tables'!$D$4:$D$8</c:f>
              <c:strCache>
                <c:ptCount val="4"/>
                <c:pt idx="0">
                  <c:v>Clothing</c:v>
                </c:pt>
                <c:pt idx="1">
                  <c:v>Electronics</c:v>
                </c:pt>
                <c:pt idx="2">
                  <c:v>Grocery</c:v>
                </c:pt>
                <c:pt idx="3">
                  <c:v>Home Decor</c:v>
                </c:pt>
              </c:strCache>
            </c:strRef>
          </c:cat>
          <c:val>
            <c:numRef>
              <c:f>'Pivort Tables'!$E$4:$E$8</c:f>
              <c:numCache>
                <c:formatCode>General</c:formatCode>
                <c:ptCount val="4"/>
                <c:pt idx="0">
                  <c:v>320000</c:v>
                </c:pt>
                <c:pt idx="1">
                  <c:v>12500000</c:v>
                </c:pt>
                <c:pt idx="2">
                  <c:v>36000</c:v>
                </c:pt>
                <c:pt idx="3">
                  <c:v>45000</c:v>
                </c:pt>
              </c:numCache>
            </c:numRef>
          </c:val>
          <c:extLst>
            <c:ext xmlns:c16="http://schemas.microsoft.com/office/drawing/2014/chart" uri="{C3380CC4-5D6E-409C-BE32-E72D297353CC}">
              <c16:uniqueId val="{00000008-7605-4D84-8AB2-E3D3D741BCF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154430</xdr:colOff>
      <xdr:row>34</xdr:row>
      <xdr:rowOff>4689</xdr:rowOff>
    </xdr:from>
    <xdr:to>
      <xdr:col>5</xdr:col>
      <xdr:colOff>115956</xdr:colOff>
      <xdr:row>52</xdr:row>
      <xdr:rowOff>132521</xdr:rowOff>
    </xdr:to>
    <xdr:graphicFrame macro="">
      <xdr:nvGraphicFramePr>
        <xdr:cNvPr id="7" name="Chart 6">
          <a:extLst>
            <a:ext uri="{FF2B5EF4-FFF2-40B4-BE49-F238E27FC236}">
              <a16:creationId xmlns:a16="http://schemas.microsoft.com/office/drawing/2014/main" id="{DC289A06-F253-6050-C575-01D4B0275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60960</xdr:colOff>
      <xdr:row>14</xdr:row>
      <xdr:rowOff>16564</xdr:rowOff>
    </xdr:from>
    <xdr:to>
      <xdr:col>16</xdr:col>
      <xdr:colOff>619760</xdr:colOff>
      <xdr:row>31</xdr:row>
      <xdr:rowOff>146266</xdr:rowOff>
    </xdr:to>
    <xdr:graphicFrame macro="">
      <xdr:nvGraphicFramePr>
        <xdr:cNvPr id="8" name="Chart 7">
          <a:extLst>
            <a:ext uri="{FF2B5EF4-FFF2-40B4-BE49-F238E27FC236}">
              <a16:creationId xmlns:a16="http://schemas.microsoft.com/office/drawing/2014/main" id="{5A582B28-31CE-0CA1-8A07-45392662AC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59780</xdr:colOff>
      <xdr:row>34</xdr:row>
      <xdr:rowOff>10159</xdr:rowOff>
    </xdr:from>
    <xdr:to>
      <xdr:col>10</xdr:col>
      <xdr:colOff>1159565</xdr:colOff>
      <xdr:row>52</xdr:row>
      <xdr:rowOff>99391</xdr:rowOff>
    </xdr:to>
    <xdr:graphicFrame macro="">
      <xdr:nvGraphicFramePr>
        <xdr:cNvPr id="9" name="Chart 8">
          <a:extLst>
            <a:ext uri="{FF2B5EF4-FFF2-40B4-BE49-F238E27FC236}">
              <a16:creationId xmlns:a16="http://schemas.microsoft.com/office/drawing/2014/main" id="{0C59A0D1-2574-8DED-B9EE-C23A1C184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135467</xdr:colOff>
      <xdr:row>14</xdr:row>
      <xdr:rowOff>16933</xdr:rowOff>
    </xdr:from>
    <xdr:to>
      <xdr:col>5</xdr:col>
      <xdr:colOff>135467</xdr:colOff>
      <xdr:row>32</xdr:row>
      <xdr:rowOff>84666</xdr:rowOff>
    </xdr:to>
    <xdr:graphicFrame macro="">
      <xdr:nvGraphicFramePr>
        <xdr:cNvPr id="4" name="Chart 3">
          <a:extLst>
            <a:ext uri="{FF2B5EF4-FFF2-40B4-BE49-F238E27FC236}">
              <a16:creationId xmlns:a16="http://schemas.microsoft.com/office/drawing/2014/main" id="{96B47C27-A46A-0DEB-CD22-348938E3D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51953</xdr:colOff>
      <xdr:row>14</xdr:row>
      <xdr:rowOff>13854</xdr:rowOff>
    </xdr:from>
    <xdr:to>
      <xdr:col>10</xdr:col>
      <xdr:colOff>1125681</xdr:colOff>
      <xdr:row>32</xdr:row>
      <xdr:rowOff>103908</xdr:rowOff>
    </xdr:to>
    <xdr:graphicFrame macro="">
      <xdr:nvGraphicFramePr>
        <xdr:cNvPr id="5" name="Chart 4">
          <a:extLst>
            <a:ext uri="{FF2B5EF4-FFF2-40B4-BE49-F238E27FC236}">
              <a16:creationId xmlns:a16="http://schemas.microsoft.com/office/drawing/2014/main" id="{0EB4DDE7-864C-46D0-DF49-DE1AAAB53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42397</xdr:colOff>
      <xdr:row>33</xdr:row>
      <xdr:rowOff>32820</xdr:rowOff>
    </xdr:from>
    <xdr:to>
      <xdr:col>24</xdr:col>
      <xdr:colOff>26354</xdr:colOff>
      <xdr:row>46</xdr:row>
      <xdr:rowOff>66741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095B6D9-4FDB-D2F2-8DB8-9FB0713260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47714" y="6481942"/>
              <a:ext cx="1823908" cy="2450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578181</xdr:colOff>
      <xdr:row>33</xdr:row>
      <xdr:rowOff>1422</xdr:rowOff>
    </xdr:from>
    <xdr:to>
      <xdr:col>30</xdr:col>
      <xdr:colOff>562139</xdr:colOff>
      <xdr:row>46</xdr:row>
      <xdr:rowOff>35344</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3C6809F-C29B-9704-27E6-7ED89576ED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063401" y="6450544"/>
              <a:ext cx="1823909" cy="2450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299947</xdr:colOff>
      <xdr:row>33</xdr:row>
      <xdr:rowOff>5475</xdr:rowOff>
    </xdr:from>
    <xdr:to>
      <xdr:col>27</xdr:col>
      <xdr:colOff>283907</xdr:colOff>
      <xdr:row>46</xdr:row>
      <xdr:rowOff>29449</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753C9821-8F32-CAD0-2A79-719DA3476B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945215" y="6454597"/>
              <a:ext cx="1823912" cy="2440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429846</xdr:colOff>
      <xdr:row>3</xdr:row>
      <xdr:rowOff>91179</xdr:rowOff>
    </xdr:from>
    <xdr:ext cx="184731" cy="264560"/>
    <xdr:sp macro="" textlink="">
      <xdr:nvSpPr>
        <xdr:cNvPr id="19" name="TextBox 18">
          <a:extLst>
            <a:ext uri="{FF2B5EF4-FFF2-40B4-BE49-F238E27FC236}">
              <a16:creationId xmlns:a16="http://schemas.microsoft.com/office/drawing/2014/main" id="{9C8E25C8-73CA-13DD-C02D-DB4013B3F36E}"/>
            </a:ext>
          </a:extLst>
        </xdr:cNvPr>
        <xdr:cNvSpPr txBox="1"/>
      </xdr:nvSpPr>
      <xdr:spPr>
        <a:xfrm>
          <a:off x="1953846" y="7815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193063</xdr:colOff>
      <xdr:row>2</xdr:row>
      <xdr:rowOff>8778</xdr:rowOff>
    </xdr:from>
    <xdr:to>
      <xdr:col>4</xdr:col>
      <xdr:colOff>405594</xdr:colOff>
      <xdr:row>6</xdr:row>
      <xdr:rowOff>152107</xdr:rowOff>
    </xdr:to>
    <xdr:sp macro="" textlink="A71">
      <xdr:nvSpPr>
        <xdr:cNvPr id="21" name="Rectangle: Rounded Corners 20">
          <a:extLst>
            <a:ext uri="{FF2B5EF4-FFF2-40B4-BE49-F238E27FC236}">
              <a16:creationId xmlns:a16="http://schemas.microsoft.com/office/drawing/2014/main" id="{AF1DDE47-3D33-A04A-8192-2B5A482A4193}"/>
            </a:ext>
          </a:extLst>
        </xdr:cNvPr>
        <xdr:cNvSpPr/>
      </xdr:nvSpPr>
      <xdr:spPr>
        <a:xfrm>
          <a:off x="2119711" y="519664"/>
          <a:ext cx="1433463" cy="870693"/>
        </a:xfrm>
        <a:prstGeom prst="round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Calibri"/>
              <a:ea typeface="Calibri"/>
              <a:cs typeface="Calibri"/>
            </a:rPr>
            <a:t>Total</a:t>
          </a:r>
          <a:r>
            <a:rPr lang="en-US" sz="1100" b="1" i="0" u="none" strike="noStrike" baseline="0">
              <a:solidFill>
                <a:srgbClr val="000000"/>
              </a:solidFill>
              <a:latin typeface="Calibri"/>
              <a:ea typeface="Calibri"/>
              <a:cs typeface="Calibri"/>
            </a:rPr>
            <a:t> Sales</a:t>
          </a:r>
          <a:endParaRPr lang="en-US" sz="1100" b="1" i="0" u="none" strike="noStrike">
            <a:solidFill>
              <a:srgbClr val="000000"/>
            </a:solidFill>
            <a:latin typeface="Calibri"/>
            <a:ea typeface="Calibri"/>
            <a:cs typeface="Calibri"/>
          </a:endParaRPr>
        </a:p>
        <a:p>
          <a:pPr algn="ctr"/>
          <a:fld id="{7F5897A5-CAFD-4D1F-940A-42E6969FE05B}" type="TxLink">
            <a:rPr lang="en-US" sz="1100" b="0" i="0" u="none" strike="noStrike">
              <a:solidFill>
                <a:srgbClr val="000000"/>
              </a:solidFill>
              <a:latin typeface="Calibri"/>
              <a:ea typeface="Calibri"/>
              <a:cs typeface="Calibri"/>
            </a:rPr>
            <a:t> $12,901,000 </a:t>
          </a:fld>
          <a:endParaRPr lang="en-US" sz="1100" b="1"/>
        </a:p>
      </xdr:txBody>
    </xdr:sp>
    <xdr:clientData/>
  </xdr:twoCellAnchor>
  <xdr:twoCellAnchor>
    <xdr:from>
      <xdr:col>5</xdr:col>
      <xdr:colOff>203489</xdr:colOff>
      <xdr:row>2</xdr:row>
      <xdr:rowOff>17319</xdr:rowOff>
    </xdr:from>
    <xdr:to>
      <xdr:col>7</xdr:col>
      <xdr:colOff>416020</xdr:colOff>
      <xdr:row>6</xdr:row>
      <xdr:rowOff>160648</xdr:rowOff>
    </xdr:to>
    <xdr:sp macro="" textlink="A72">
      <xdr:nvSpPr>
        <xdr:cNvPr id="22" name="Rectangle: Rounded Corners 21">
          <a:extLst>
            <a:ext uri="{FF2B5EF4-FFF2-40B4-BE49-F238E27FC236}">
              <a16:creationId xmlns:a16="http://schemas.microsoft.com/office/drawing/2014/main" id="{3F250E56-A972-49E9-A76B-3FB25600CA97}"/>
            </a:ext>
          </a:extLst>
        </xdr:cNvPr>
        <xdr:cNvSpPr/>
      </xdr:nvSpPr>
      <xdr:spPr>
        <a:xfrm>
          <a:off x="3961534" y="528205"/>
          <a:ext cx="1433463" cy="870693"/>
        </a:xfrm>
        <a:prstGeom prst="round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Calibri"/>
              <a:ea typeface="Calibri"/>
              <a:cs typeface="Calibri"/>
            </a:rPr>
            <a:t>Total Unit</a:t>
          </a:r>
          <a:r>
            <a:rPr lang="en-US" sz="1100" b="1" i="0" u="none" strike="noStrike" baseline="0">
              <a:solidFill>
                <a:srgbClr val="000000"/>
              </a:solidFill>
              <a:latin typeface="Calibri"/>
              <a:ea typeface="Calibri"/>
              <a:cs typeface="Calibri"/>
            </a:rPr>
            <a:t> Sold</a:t>
          </a:r>
          <a:endParaRPr lang="en-US" sz="1100" b="1" i="0" u="none" strike="noStrike">
            <a:solidFill>
              <a:srgbClr val="000000"/>
            </a:solidFill>
            <a:latin typeface="Calibri"/>
            <a:ea typeface="Calibri"/>
            <a:cs typeface="Calibri"/>
          </a:endParaRPr>
        </a:p>
        <a:p>
          <a:pPr algn="ctr"/>
          <a:fld id="{DE7A63C9-58F8-4A40-ACD0-A571D9865FB9}" type="TxLink">
            <a:rPr lang="en-US" sz="1100" b="0" i="0" u="none" strike="noStrike">
              <a:solidFill>
                <a:srgbClr val="000000"/>
              </a:solidFill>
              <a:latin typeface="Calibri"/>
              <a:ea typeface="Calibri"/>
              <a:cs typeface="Calibri"/>
            </a:rPr>
            <a:t>1400</a:t>
          </a:fld>
          <a:endParaRPr lang="en-US" sz="1100" b="1" i="0" u="none" strike="noStrike">
            <a:solidFill>
              <a:srgbClr val="000000"/>
            </a:solidFill>
            <a:latin typeface="Calibri"/>
            <a:ea typeface="Calibri"/>
            <a:cs typeface="Calibri"/>
          </a:endParaRPr>
        </a:p>
      </xdr:txBody>
    </xdr:sp>
    <xdr:clientData/>
  </xdr:twoCellAnchor>
  <xdr:twoCellAnchor>
    <xdr:from>
      <xdr:col>8</xdr:col>
      <xdr:colOff>207818</xdr:colOff>
      <xdr:row>2</xdr:row>
      <xdr:rowOff>17319</xdr:rowOff>
    </xdr:from>
    <xdr:to>
      <xdr:col>10</xdr:col>
      <xdr:colOff>420349</xdr:colOff>
      <xdr:row>6</xdr:row>
      <xdr:rowOff>160648</xdr:rowOff>
    </xdr:to>
    <xdr:sp macro="" textlink="A73">
      <xdr:nvSpPr>
        <xdr:cNvPr id="23" name="Rectangle: Rounded Corners 22">
          <a:extLst>
            <a:ext uri="{FF2B5EF4-FFF2-40B4-BE49-F238E27FC236}">
              <a16:creationId xmlns:a16="http://schemas.microsoft.com/office/drawing/2014/main" id="{F0BC899F-151E-45DC-9220-690E174AF932}"/>
            </a:ext>
          </a:extLst>
        </xdr:cNvPr>
        <xdr:cNvSpPr/>
      </xdr:nvSpPr>
      <xdr:spPr>
        <a:xfrm>
          <a:off x="5797261" y="528205"/>
          <a:ext cx="1433463" cy="870693"/>
        </a:xfrm>
        <a:prstGeom prst="roundRect">
          <a:avLst/>
        </a:prstGeom>
        <a:solidFill>
          <a:schemeClr val="accent4">
            <a:lumMod val="40000"/>
            <a:lumOff val="60000"/>
          </a:schemeClr>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Calibri"/>
              <a:ea typeface="Calibri"/>
              <a:cs typeface="Calibri"/>
            </a:rPr>
            <a:t>Average</a:t>
          </a:r>
          <a:r>
            <a:rPr lang="en-US" sz="1100" b="1" i="0" u="none" strike="noStrike" baseline="0">
              <a:solidFill>
                <a:srgbClr val="000000"/>
              </a:solidFill>
              <a:latin typeface="Calibri"/>
              <a:ea typeface="Calibri"/>
              <a:cs typeface="Calibri"/>
            </a:rPr>
            <a:t> S.P</a:t>
          </a:r>
        </a:p>
        <a:p>
          <a:pPr algn="ctr"/>
          <a:fld id="{63C10637-7A8A-403F-8286-0FB89B78C00A}" type="TxLink">
            <a:rPr lang="en-US" sz="1100" b="0" i="0" u="none" strike="noStrike">
              <a:solidFill>
                <a:srgbClr val="000000"/>
              </a:solidFill>
              <a:latin typeface="Calibri"/>
              <a:ea typeface="Calibri"/>
              <a:cs typeface="Calibri"/>
            </a:rPr>
            <a:t> $12,790 </a:t>
          </a:fld>
          <a:endParaRPr lang="en-US" sz="1100" b="1"/>
        </a:p>
      </xdr:txBody>
    </xdr:sp>
    <xdr:clientData/>
  </xdr:twoCellAnchor>
  <xdr:twoCellAnchor>
    <xdr:from>
      <xdr:col>2</xdr:col>
      <xdr:colOff>154430</xdr:colOff>
      <xdr:row>31</xdr:row>
      <xdr:rowOff>4689</xdr:rowOff>
    </xdr:from>
    <xdr:to>
      <xdr:col>10</xdr:col>
      <xdr:colOff>544286</xdr:colOff>
      <xdr:row>49</xdr:row>
      <xdr:rowOff>132521</xdr:rowOff>
    </xdr:to>
    <xdr:graphicFrame macro="">
      <xdr:nvGraphicFramePr>
        <xdr:cNvPr id="28" name="Chart 27">
          <a:extLst>
            <a:ext uri="{FF2B5EF4-FFF2-40B4-BE49-F238E27FC236}">
              <a16:creationId xmlns:a16="http://schemas.microsoft.com/office/drawing/2014/main" id="{AF0E6EA8-B551-4AE6-B76D-9A8F5E561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28302</xdr:colOff>
      <xdr:row>10</xdr:row>
      <xdr:rowOff>168966</xdr:rowOff>
    </xdr:from>
    <xdr:to>
      <xdr:col>30</xdr:col>
      <xdr:colOff>566057</xdr:colOff>
      <xdr:row>29</xdr:row>
      <xdr:rowOff>76200</xdr:rowOff>
    </xdr:to>
    <xdr:graphicFrame macro="">
      <xdr:nvGraphicFramePr>
        <xdr:cNvPr id="29" name="Chart 28">
          <a:extLst>
            <a:ext uri="{FF2B5EF4-FFF2-40B4-BE49-F238E27FC236}">
              <a16:creationId xmlns:a16="http://schemas.microsoft.com/office/drawing/2014/main" id="{A3ADB038-780A-4AE7-A117-105F5AB03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32658</xdr:colOff>
      <xdr:row>31</xdr:row>
      <xdr:rowOff>10159</xdr:rowOff>
    </xdr:from>
    <xdr:to>
      <xdr:col>19</xdr:col>
      <xdr:colOff>598715</xdr:colOff>
      <xdr:row>49</xdr:row>
      <xdr:rowOff>130629</xdr:rowOff>
    </xdr:to>
    <xdr:graphicFrame macro="">
      <xdr:nvGraphicFramePr>
        <xdr:cNvPr id="30" name="Chart 29">
          <a:extLst>
            <a:ext uri="{FF2B5EF4-FFF2-40B4-BE49-F238E27FC236}">
              <a16:creationId xmlns:a16="http://schemas.microsoft.com/office/drawing/2014/main" id="{1477ADDD-3B1C-47B1-9F57-BE0FA4E24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135467</xdr:colOff>
      <xdr:row>11</xdr:row>
      <xdr:rowOff>16933</xdr:rowOff>
    </xdr:from>
    <xdr:to>
      <xdr:col>10</xdr:col>
      <xdr:colOff>566057</xdr:colOff>
      <xdr:row>29</xdr:row>
      <xdr:rowOff>84666</xdr:rowOff>
    </xdr:to>
    <xdr:graphicFrame macro="">
      <xdr:nvGraphicFramePr>
        <xdr:cNvPr id="31" name="Chart 30">
          <a:extLst>
            <a:ext uri="{FF2B5EF4-FFF2-40B4-BE49-F238E27FC236}">
              <a16:creationId xmlns:a16="http://schemas.microsoft.com/office/drawing/2014/main" id="{C1B4C7EC-13BD-4FC6-92D3-5E7CF7057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41068</xdr:colOff>
      <xdr:row>11</xdr:row>
      <xdr:rowOff>2968</xdr:rowOff>
    </xdr:from>
    <xdr:to>
      <xdr:col>19</xdr:col>
      <xdr:colOff>587829</xdr:colOff>
      <xdr:row>29</xdr:row>
      <xdr:rowOff>93022</xdr:rowOff>
    </xdr:to>
    <xdr:graphicFrame macro="">
      <xdr:nvGraphicFramePr>
        <xdr:cNvPr id="32" name="Chart 31">
          <a:extLst>
            <a:ext uri="{FF2B5EF4-FFF2-40B4-BE49-F238E27FC236}">
              <a16:creationId xmlns:a16="http://schemas.microsoft.com/office/drawing/2014/main" id="{FD73CBE2-3430-4A53-81BB-9982F4714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vi G" refreshedDate="45993.379099305559" createdVersion="8" refreshedVersion="8" minRefreshableVersion="3" recordCount="200" xr:uid="{47DCFBA9-60BE-416F-B600-67EEFD29366F}">
  <cacheSource type="worksheet">
    <worksheetSource ref="A1:H201" sheet="Cleaned sales data"/>
  </cacheSource>
  <cacheFields count="10">
    <cacheField name="Date" numFmtId="14">
      <sharedItems containsSemiMixedTypes="0" containsNonDate="0" containsDate="1" containsString="0" minDate="2023-01-01T00:00:00" maxDate="2023-07-20T00:00:00" count="200">
        <d v="2023-01-04T00:00:00"/>
        <d v="2023-01-08T00:00:00"/>
        <d v="2023-01-12T00:00:00"/>
        <d v="2023-01-16T00:00:00"/>
        <d v="2023-01-20T00:00:00"/>
        <d v="2023-01-24T00:00:00"/>
        <d v="2023-01-28T00:00:00"/>
        <d v="2023-02-01T00:00:00"/>
        <d v="2023-02-05T00:00:00"/>
        <d v="2023-02-09T00:00:00"/>
        <d v="2023-02-13T00:00:00"/>
        <d v="2023-02-17T00:00:00"/>
        <d v="2023-02-21T00:00:00"/>
        <d v="2023-02-25T00:00:00"/>
        <d v="2023-03-01T00:00:00"/>
        <d v="2023-03-05T00:00:00"/>
        <d v="2023-03-09T00:00:00"/>
        <d v="2023-03-13T00:00:00"/>
        <d v="2023-03-17T00:00:00"/>
        <d v="2023-03-21T00:00:00"/>
        <d v="2023-03-25T00:00:00"/>
        <d v="2023-03-29T00:00:00"/>
        <d v="2023-04-02T00:00:00"/>
        <d v="2023-04-06T00:00:00"/>
        <d v="2023-04-10T00:00:00"/>
        <d v="2023-04-14T00:00:00"/>
        <d v="2023-04-18T00:00:00"/>
        <d v="2023-04-22T00:00:00"/>
        <d v="2023-04-26T00:00:00"/>
        <d v="2023-04-30T00:00:00"/>
        <d v="2023-05-04T00:00:00"/>
        <d v="2023-05-08T00:00:00"/>
        <d v="2023-05-12T00:00:00"/>
        <d v="2023-05-16T00:00:00"/>
        <d v="2023-05-20T00:00:00"/>
        <d v="2023-05-24T00:00:00"/>
        <d v="2023-05-28T00:00:00"/>
        <d v="2023-06-01T00:00:00"/>
        <d v="2023-06-05T00:00:00"/>
        <d v="2023-06-09T00:00:00"/>
        <d v="2023-06-13T00:00:00"/>
        <d v="2023-06-17T00:00:00"/>
        <d v="2023-06-21T00:00:00"/>
        <d v="2023-06-25T00:00:00"/>
        <d v="2023-06-29T00:00:00"/>
        <d v="2023-07-03T00:00:00"/>
        <d v="2023-07-07T00:00:00"/>
        <d v="2023-07-11T00:00:00"/>
        <d v="2023-07-15T00:00:00"/>
        <d v="2023-07-19T00:00:00"/>
        <d v="2023-01-01T00:00:00"/>
        <d v="2023-01-05T00:00:00"/>
        <d v="2023-01-09T00:00:00"/>
        <d v="2023-01-13T00:00:00"/>
        <d v="2023-01-17T00:00:00"/>
        <d v="2023-01-21T00:00:00"/>
        <d v="2023-01-25T00:00:00"/>
        <d v="2023-01-29T00:00:00"/>
        <d v="2023-02-02T00:00:00"/>
        <d v="2023-02-06T00:00:00"/>
        <d v="2023-02-10T00:00:00"/>
        <d v="2023-02-14T00:00:00"/>
        <d v="2023-02-18T00:00:00"/>
        <d v="2023-02-22T00:00:00"/>
        <d v="2023-02-26T00:00:00"/>
        <d v="2023-03-02T00:00:00"/>
        <d v="2023-03-06T00:00:00"/>
        <d v="2023-03-10T00:00:00"/>
        <d v="2023-03-14T00:00:00"/>
        <d v="2023-03-18T00:00:00"/>
        <d v="2023-03-22T00:00:00"/>
        <d v="2023-03-26T00:00:00"/>
        <d v="2023-03-30T00:00:00"/>
        <d v="2023-04-03T00:00:00"/>
        <d v="2023-04-07T00:00:00"/>
        <d v="2023-04-11T00:00:00"/>
        <d v="2023-04-15T00:00:00"/>
        <d v="2023-04-19T00:00:00"/>
        <d v="2023-04-23T00:00:00"/>
        <d v="2023-04-27T00:00:00"/>
        <d v="2023-05-01T00:00:00"/>
        <d v="2023-05-05T00:00:00"/>
        <d v="2023-05-09T00:00:00"/>
        <d v="2023-05-13T00:00:00"/>
        <d v="2023-05-17T00:00:00"/>
        <d v="2023-05-21T00:00:00"/>
        <d v="2023-05-25T00:00:00"/>
        <d v="2023-05-29T00:00:00"/>
        <d v="2023-06-02T00:00:00"/>
        <d v="2023-06-06T00:00:00"/>
        <d v="2023-06-10T00:00:00"/>
        <d v="2023-06-14T00:00:00"/>
        <d v="2023-06-18T00:00:00"/>
        <d v="2023-06-22T00:00:00"/>
        <d v="2023-06-26T00:00:00"/>
        <d v="2023-06-30T00:00:00"/>
        <d v="2023-07-04T00:00:00"/>
        <d v="2023-07-08T00:00:00"/>
        <d v="2023-07-12T00:00:00"/>
        <d v="2023-07-16T00:00:00"/>
        <d v="2023-01-03T00:00:00"/>
        <d v="2023-01-07T00:00:00"/>
        <d v="2023-01-11T00:00:00"/>
        <d v="2023-01-15T00:00:00"/>
        <d v="2023-01-19T00:00:00"/>
        <d v="2023-01-23T00:00:00"/>
        <d v="2023-01-27T00:00:00"/>
        <d v="2023-01-31T00:00:00"/>
        <d v="2023-02-04T00:00:00"/>
        <d v="2023-02-08T00:00:00"/>
        <d v="2023-02-12T00:00:00"/>
        <d v="2023-02-16T00:00:00"/>
        <d v="2023-02-20T00:00:00"/>
        <d v="2023-02-24T00:00:00"/>
        <d v="2023-02-28T00:00:00"/>
        <d v="2023-03-04T00:00:00"/>
        <d v="2023-03-08T00:00:00"/>
        <d v="2023-03-12T00:00:00"/>
        <d v="2023-03-16T00:00:00"/>
        <d v="2023-03-20T00:00:00"/>
        <d v="2023-03-24T00:00:00"/>
        <d v="2023-03-28T00:00:00"/>
        <d v="2023-04-01T00:00:00"/>
        <d v="2023-04-05T00:00:00"/>
        <d v="2023-04-09T00:00:00"/>
        <d v="2023-04-13T00:00:00"/>
        <d v="2023-04-17T00:00:00"/>
        <d v="2023-04-21T00:00:00"/>
        <d v="2023-04-25T00:00:00"/>
        <d v="2023-04-29T00:00:00"/>
        <d v="2023-05-03T00:00:00"/>
        <d v="2023-05-07T00:00:00"/>
        <d v="2023-05-11T00:00:00"/>
        <d v="2023-05-15T00:00:00"/>
        <d v="2023-05-19T00:00:00"/>
        <d v="2023-05-23T00:00:00"/>
        <d v="2023-05-27T00:00:00"/>
        <d v="2023-05-31T00:00:00"/>
        <d v="2023-06-04T00:00:00"/>
        <d v="2023-06-08T00:00:00"/>
        <d v="2023-06-12T00:00:00"/>
        <d v="2023-06-16T00:00:00"/>
        <d v="2023-06-20T00:00:00"/>
        <d v="2023-06-24T00:00:00"/>
        <d v="2023-06-28T00:00:00"/>
        <d v="2023-07-02T00:00:00"/>
        <d v="2023-07-06T00:00:00"/>
        <d v="2023-07-10T00:00:00"/>
        <d v="2023-07-14T00:00:00"/>
        <d v="2023-07-18T00:00:00"/>
        <d v="2023-01-02T00:00:00"/>
        <d v="2023-01-06T00:00:00"/>
        <d v="2023-01-10T00:00:00"/>
        <d v="2023-01-14T00:00:00"/>
        <d v="2023-01-18T00:00:00"/>
        <d v="2023-01-22T00:00:00"/>
        <d v="2023-01-26T00:00:00"/>
        <d v="2023-01-30T00:00:00"/>
        <d v="2023-02-03T00:00:00"/>
        <d v="2023-02-07T00:00:00"/>
        <d v="2023-02-11T00:00:00"/>
        <d v="2023-02-15T00:00:00"/>
        <d v="2023-02-19T00:00:00"/>
        <d v="2023-02-23T00:00:00"/>
        <d v="2023-02-27T00:00:00"/>
        <d v="2023-03-03T00:00:00"/>
        <d v="2023-03-07T00:00:00"/>
        <d v="2023-03-11T00:00:00"/>
        <d v="2023-03-15T00:00:00"/>
        <d v="2023-03-19T00:00:00"/>
        <d v="2023-03-23T00:00:00"/>
        <d v="2023-03-27T00:00:00"/>
        <d v="2023-03-31T00:00:00"/>
        <d v="2023-04-04T00:00:00"/>
        <d v="2023-04-08T00:00:00"/>
        <d v="2023-04-12T00:00:00"/>
        <d v="2023-04-16T00:00:00"/>
        <d v="2023-04-20T00:00:00"/>
        <d v="2023-04-24T00:00:00"/>
        <d v="2023-04-28T00:00:00"/>
        <d v="2023-05-02T00:00:00"/>
        <d v="2023-05-06T00:00:00"/>
        <d v="2023-05-10T00:00:00"/>
        <d v="2023-05-14T00:00:00"/>
        <d v="2023-05-18T00:00:00"/>
        <d v="2023-05-22T00:00:00"/>
        <d v="2023-05-26T00:00:00"/>
        <d v="2023-05-30T00:00:00"/>
        <d v="2023-06-03T00:00:00"/>
        <d v="2023-06-07T00:00:00"/>
        <d v="2023-06-11T00:00:00"/>
        <d v="2023-06-15T00:00:00"/>
        <d v="2023-06-19T00:00:00"/>
        <d v="2023-06-23T00:00:00"/>
        <d v="2023-06-27T00:00:00"/>
        <d v="2023-07-01T00:00:00"/>
        <d v="2023-07-05T00:00:00"/>
        <d v="2023-07-09T00:00:00"/>
        <d v="2023-07-13T00:00:00"/>
        <d v="2023-07-17T00:00:00"/>
      </sharedItems>
      <fieldGroup par="9"/>
    </cacheField>
    <cacheField name="Region" numFmtId="0">
      <sharedItems count="4">
        <s v="West"/>
        <s v="North"/>
        <s v="East"/>
        <s v="South"/>
      </sharedItems>
    </cacheField>
    <cacheField name="Category" numFmtId="0">
      <sharedItems count="4">
        <s v="Home Decor"/>
        <s v="Electronics"/>
        <s v="Grocery"/>
        <s v="Clothing"/>
      </sharedItems>
    </cacheField>
    <cacheField name="Product" numFmtId="0">
      <sharedItems count="4">
        <s v="Cushion"/>
        <s v="Laptop"/>
        <s v="Rice"/>
        <s v="Shirt"/>
      </sharedItems>
    </cacheField>
    <cacheField name="Units_Sold" numFmtId="0">
      <sharedItems containsSemiMixedTypes="0" containsString="0" containsNumber="1" containsInteger="1" minValue="3" maxValue="12"/>
    </cacheField>
    <cacheField name="Unit_Price" numFmtId="0">
      <sharedItems containsSemiMixedTypes="0" containsString="0" containsNumber="1" containsInteger="1" minValue="60" maxValue="50000"/>
    </cacheField>
    <cacheField name="Total_Sales" numFmtId="0">
      <sharedItems containsSemiMixedTypes="0" containsString="0" containsNumber="1" containsInteger="1" minValue="720" maxValue="250000"/>
    </cacheField>
    <cacheField name="Profit" numFmtId="0">
      <sharedItems containsSemiMixedTypes="0" containsString="0" containsNumber="1" containsInteger="1" minValue="144" maxValue="50000"/>
    </cacheField>
    <cacheField name="Days (Date)" numFmtId="0" databaseField="0">
      <fieldGroup base="0">
        <rangePr groupBy="days" startDate="2023-01-01T00:00:00" endDate="2023-07-2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0/2023"/>
        </groupItems>
      </fieldGroup>
    </cacheField>
    <cacheField name="Months (Date)" numFmtId="0" databaseField="0">
      <fieldGroup base="0">
        <rangePr groupBy="months" startDate="2023-01-01T00:00:00" endDate="2023-07-20T00:00:00"/>
        <groupItems count="14">
          <s v="&lt;1/1/2023"/>
          <s v="Jan"/>
          <s v="Feb"/>
          <s v="Mar"/>
          <s v="Apr"/>
          <s v="May"/>
          <s v="Jun"/>
          <s v="Jul"/>
          <s v="Aug"/>
          <s v="Sep"/>
          <s v="Oct"/>
          <s v="Nov"/>
          <s v="Dec"/>
          <s v="&gt;7/20/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vi G" refreshedDate="45991.488737615742" createdVersion="8" refreshedVersion="8" minRefreshableVersion="3" recordCount="201" xr:uid="{6806AC8F-E8B1-4CBB-BF11-A761654E291F}">
  <cacheSource type="worksheet">
    <worksheetSource ref="A1:H202" sheet="Cleaned sales data"/>
  </cacheSource>
  <cacheFields count="10">
    <cacheField name="Date" numFmtId="14">
      <sharedItems containsNonDate="0" containsDate="1" containsString="0" containsBlank="1" minDate="2023-01-01T00:00:00" maxDate="2023-07-20T00:00:00" count="20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m/>
      </sharedItems>
      <fieldGroup par="9"/>
    </cacheField>
    <cacheField name="Region" numFmtId="0">
      <sharedItems containsBlank="1" count="5">
        <s v="North"/>
        <s v="South"/>
        <s v="East"/>
        <s v="West"/>
        <m/>
      </sharedItems>
    </cacheField>
    <cacheField name="Category" numFmtId="0">
      <sharedItems containsBlank="1" count="5">
        <s v="Electronics"/>
        <s v="Clothing"/>
        <s v="Grocery"/>
        <s v="Home Decor"/>
        <m/>
      </sharedItems>
    </cacheField>
    <cacheField name="Product" numFmtId="0">
      <sharedItems containsBlank="1" count="5">
        <s v="Laptop"/>
        <s v="Shirt"/>
        <s v="Rice"/>
        <s v="Cushion"/>
        <m/>
      </sharedItems>
    </cacheField>
    <cacheField name="Units_Sold" numFmtId="0">
      <sharedItems containsString="0" containsBlank="1" containsNumber="1" containsInteger="1" minValue="3" maxValue="12"/>
    </cacheField>
    <cacheField name="Unit_Price" numFmtId="0">
      <sharedItems containsString="0" containsBlank="1" containsNumber="1" containsInteger="1" minValue="60" maxValue="50000"/>
    </cacheField>
    <cacheField name="Total_Sales" numFmtId="0">
      <sharedItems containsString="0" containsBlank="1" containsNumber="1" containsInteger="1" minValue="720" maxValue="250000"/>
    </cacheField>
    <cacheField name="Profit" numFmtId="0">
      <sharedItems containsString="0" containsBlank="1" containsNumber="1" containsInteger="1" minValue="144" maxValue="50000"/>
    </cacheField>
    <cacheField name="Days (Date)" numFmtId="0" databaseField="0">
      <fieldGroup base="0">
        <rangePr groupBy="days" startDate="2023-01-01T00:00:00" endDate="2023-07-20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0/2023"/>
        </groupItems>
      </fieldGroup>
    </cacheField>
    <cacheField name="Months (Date)" numFmtId="0" databaseField="0">
      <fieldGroup base="0">
        <rangePr groupBy="months" startDate="2023-01-01T00:00:00" endDate="2023-07-20T00:00:00"/>
        <groupItems count="14">
          <s v="&lt;1/1/2023"/>
          <s v="Jan"/>
          <s v="Feb"/>
          <s v="Mar"/>
          <s v="Apr"/>
          <s v="May"/>
          <s v="Jun"/>
          <s v="Jul"/>
          <s v="Aug"/>
          <s v="Sep"/>
          <s v="Oct"/>
          <s v="Nov"/>
          <s v="Dec"/>
          <s v="&gt;7/20/2023"/>
        </groupItems>
      </fieldGroup>
    </cacheField>
  </cacheFields>
  <extLst>
    <ext xmlns:x14="http://schemas.microsoft.com/office/spreadsheetml/2009/9/main" uri="{725AE2AE-9491-48be-B2B4-4EB974FC3084}">
      <x14:pivotCacheDefinition pivotCacheId="759931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3"/>
    <n v="300"/>
    <n v="900"/>
    <n v="180"/>
  </r>
  <r>
    <x v="1"/>
    <x v="0"/>
    <x v="0"/>
    <x v="0"/>
    <n v="3"/>
    <n v="300"/>
    <n v="900"/>
    <n v="180"/>
  </r>
  <r>
    <x v="2"/>
    <x v="0"/>
    <x v="0"/>
    <x v="0"/>
    <n v="3"/>
    <n v="300"/>
    <n v="900"/>
    <n v="180"/>
  </r>
  <r>
    <x v="3"/>
    <x v="0"/>
    <x v="0"/>
    <x v="0"/>
    <n v="3"/>
    <n v="300"/>
    <n v="900"/>
    <n v="180"/>
  </r>
  <r>
    <x v="4"/>
    <x v="0"/>
    <x v="0"/>
    <x v="0"/>
    <n v="3"/>
    <n v="300"/>
    <n v="900"/>
    <n v="180"/>
  </r>
  <r>
    <x v="5"/>
    <x v="0"/>
    <x v="0"/>
    <x v="0"/>
    <n v="3"/>
    <n v="300"/>
    <n v="900"/>
    <n v="180"/>
  </r>
  <r>
    <x v="6"/>
    <x v="0"/>
    <x v="0"/>
    <x v="0"/>
    <n v="3"/>
    <n v="300"/>
    <n v="900"/>
    <n v="180"/>
  </r>
  <r>
    <x v="7"/>
    <x v="0"/>
    <x v="0"/>
    <x v="0"/>
    <n v="3"/>
    <n v="300"/>
    <n v="900"/>
    <n v="180"/>
  </r>
  <r>
    <x v="8"/>
    <x v="0"/>
    <x v="0"/>
    <x v="0"/>
    <n v="3"/>
    <n v="300"/>
    <n v="900"/>
    <n v="180"/>
  </r>
  <r>
    <x v="9"/>
    <x v="0"/>
    <x v="0"/>
    <x v="0"/>
    <n v="3"/>
    <n v="300"/>
    <n v="900"/>
    <n v="180"/>
  </r>
  <r>
    <x v="10"/>
    <x v="0"/>
    <x v="0"/>
    <x v="0"/>
    <n v="3"/>
    <n v="300"/>
    <n v="900"/>
    <n v="180"/>
  </r>
  <r>
    <x v="11"/>
    <x v="0"/>
    <x v="0"/>
    <x v="0"/>
    <n v="3"/>
    <n v="300"/>
    <n v="900"/>
    <n v="180"/>
  </r>
  <r>
    <x v="12"/>
    <x v="0"/>
    <x v="0"/>
    <x v="0"/>
    <n v="3"/>
    <n v="300"/>
    <n v="900"/>
    <n v="180"/>
  </r>
  <r>
    <x v="13"/>
    <x v="0"/>
    <x v="0"/>
    <x v="0"/>
    <n v="3"/>
    <n v="300"/>
    <n v="900"/>
    <n v="180"/>
  </r>
  <r>
    <x v="14"/>
    <x v="0"/>
    <x v="0"/>
    <x v="0"/>
    <n v="3"/>
    <n v="300"/>
    <n v="900"/>
    <n v="180"/>
  </r>
  <r>
    <x v="15"/>
    <x v="0"/>
    <x v="0"/>
    <x v="0"/>
    <n v="3"/>
    <n v="300"/>
    <n v="900"/>
    <n v="180"/>
  </r>
  <r>
    <x v="16"/>
    <x v="0"/>
    <x v="0"/>
    <x v="0"/>
    <n v="3"/>
    <n v="300"/>
    <n v="900"/>
    <n v="180"/>
  </r>
  <r>
    <x v="17"/>
    <x v="0"/>
    <x v="0"/>
    <x v="0"/>
    <n v="3"/>
    <n v="300"/>
    <n v="900"/>
    <n v="180"/>
  </r>
  <r>
    <x v="18"/>
    <x v="0"/>
    <x v="0"/>
    <x v="0"/>
    <n v="3"/>
    <n v="300"/>
    <n v="900"/>
    <n v="180"/>
  </r>
  <r>
    <x v="19"/>
    <x v="0"/>
    <x v="0"/>
    <x v="0"/>
    <n v="3"/>
    <n v="300"/>
    <n v="900"/>
    <n v="180"/>
  </r>
  <r>
    <x v="20"/>
    <x v="0"/>
    <x v="0"/>
    <x v="0"/>
    <n v="3"/>
    <n v="300"/>
    <n v="900"/>
    <n v="180"/>
  </r>
  <r>
    <x v="21"/>
    <x v="0"/>
    <x v="0"/>
    <x v="0"/>
    <n v="3"/>
    <n v="300"/>
    <n v="900"/>
    <n v="180"/>
  </r>
  <r>
    <x v="22"/>
    <x v="0"/>
    <x v="0"/>
    <x v="0"/>
    <n v="3"/>
    <n v="300"/>
    <n v="900"/>
    <n v="180"/>
  </r>
  <r>
    <x v="23"/>
    <x v="0"/>
    <x v="0"/>
    <x v="0"/>
    <n v="3"/>
    <n v="300"/>
    <n v="900"/>
    <n v="180"/>
  </r>
  <r>
    <x v="24"/>
    <x v="0"/>
    <x v="0"/>
    <x v="0"/>
    <n v="3"/>
    <n v="300"/>
    <n v="900"/>
    <n v="180"/>
  </r>
  <r>
    <x v="25"/>
    <x v="0"/>
    <x v="0"/>
    <x v="0"/>
    <n v="3"/>
    <n v="300"/>
    <n v="900"/>
    <n v="180"/>
  </r>
  <r>
    <x v="26"/>
    <x v="0"/>
    <x v="0"/>
    <x v="0"/>
    <n v="3"/>
    <n v="300"/>
    <n v="900"/>
    <n v="180"/>
  </r>
  <r>
    <x v="27"/>
    <x v="0"/>
    <x v="0"/>
    <x v="0"/>
    <n v="3"/>
    <n v="300"/>
    <n v="900"/>
    <n v="180"/>
  </r>
  <r>
    <x v="28"/>
    <x v="0"/>
    <x v="0"/>
    <x v="0"/>
    <n v="3"/>
    <n v="300"/>
    <n v="900"/>
    <n v="180"/>
  </r>
  <r>
    <x v="29"/>
    <x v="0"/>
    <x v="0"/>
    <x v="0"/>
    <n v="3"/>
    <n v="300"/>
    <n v="900"/>
    <n v="180"/>
  </r>
  <r>
    <x v="30"/>
    <x v="0"/>
    <x v="0"/>
    <x v="0"/>
    <n v="3"/>
    <n v="300"/>
    <n v="900"/>
    <n v="180"/>
  </r>
  <r>
    <x v="31"/>
    <x v="0"/>
    <x v="0"/>
    <x v="0"/>
    <n v="3"/>
    <n v="300"/>
    <n v="900"/>
    <n v="180"/>
  </r>
  <r>
    <x v="32"/>
    <x v="0"/>
    <x v="0"/>
    <x v="0"/>
    <n v="3"/>
    <n v="300"/>
    <n v="900"/>
    <n v="180"/>
  </r>
  <r>
    <x v="33"/>
    <x v="0"/>
    <x v="0"/>
    <x v="0"/>
    <n v="3"/>
    <n v="300"/>
    <n v="900"/>
    <n v="180"/>
  </r>
  <r>
    <x v="34"/>
    <x v="0"/>
    <x v="0"/>
    <x v="0"/>
    <n v="3"/>
    <n v="300"/>
    <n v="900"/>
    <n v="180"/>
  </r>
  <r>
    <x v="35"/>
    <x v="0"/>
    <x v="0"/>
    <x v="0"/>
    <n v="3"/>
    <n v="300"/>
    <n v="900"/>
    <n v="180"/>
  </r>
  <r>
    <x v="36"/>
    <x v="0"/>
    <x v="0"/>
    <x v="0"/>
    <n v="3"/>
    <n v="300"/>
    <n v="900"/>
    <n v="180"/>
  </r>
  <r>
    <x v="37"/>
    <x v="0"/>
    <x v="0"/>
    <x v="0"/>
    <n v="3"/>
    <n v="300"/>
    <n v="900"/>
    <n v="180"/>
  </r>
  <r>
    <x v="38"/>
    <x v="0"/>
    <x v="0"/>
    <x v="0"/>
    <n v="3"/>
    <n v="300"/>
    <n v="900"/>
    <n v="180"/>
  </r>
  <r>
    <x v="39"/>
    <x v="0"/>
    <x v="0"/>
    <x v="0"/>
    <n v="3"/>
    <n v="300"/>
    <n v="900"/>
    <n v="180"/>
  </r>
  <r>
    <x v="40"/>
    <x v="0"/>
    <x v="0"/>
    <x v="0"/>
    <n v="3"/>
    <n v="300"/>
    <n v="900"/>
    <n v="180"/>
  </r>
  <r>
    <x v="41"/>
    <x v="0"/>
    <x v="0"/>
    <x v="0"/>
    <n v="3"/>
    <n v="300"/>
    <n v="900"/>
    <n v="180"/>
  </r>
  <r>
    <x v="42"/>
    <x v="0"/>
    <x v="0"/>
    <x v="0"/>
    <n v="3"/>
    <n v="300"/>
    <n v="900"/>
    <n v="180"/>
  </r>
  <r>
    <x v="43"/>
    <x v="0"/>
    <x v="0"/>
    <x v="0"/>
    <n v="3"/>
    <n v="300"/>
    <n v="900"/>
    <n v="180"/>
  </r>
  <r>
    <x v="44"/>
    <x v="0"/>
    <x v="0"/>
    <x v="0"/>
    <n v="3"/>
    <n v="300"/>
    <n v="900"/>
    <n v="180"/>
  </r>
  <r>
    <x v="45"/>
    <x v="0"/>
    <x v="0"/>
    <x v="0"/>
    <n v="3"/>
    <n v="300"/>
    <n v="900"/>
    <n v="180"/>
  </r>
  <r>
    <x v="46"/>
    <x v="0"/>
    <x v="0"/>
    <x v="0"/>
    <n v="3"/>
    <n v="300"/>
    <n v="900"/>
    <n v="180"/>
  </r>
  <r>
    <x v="47"/>
    <x v="0"/>
    <x v="0"/>
    <x v="0"/>
    <n v="3"/>
    <n v="300"/>
    <n v="900"/>
    <n v="180"/>
  </r>
  <r>
    <x v="48"/>
    <x v="0"/>
    <x v="0"/>
    <x v="0"/>
    <n v="3"/>
    <n v="300"/>
    <n v="900"/>
    <n v="180"/>
  </r>
  <r>
    <x v="49"/>
    <x v="0"/>
    <x v="0"/>
    <x v="0"/>
    <n v="3"/>
    <n v="300"/>
    <n v="900"/>
    <n v="180"/>
  </r>
  <r>
    <x v="50"/>
    <x v="1"/>
    <x v="1"/>
    <x v="1"/>
    <n v="5"/>
    <n v="50000"/>
    <n v="250000"/>
    <n v="50000"/>
  </r>
  <r>
    <x v="51"/>
    <x v="1"/>
    <x v="1"/>
    <x v="1"/>
    <n v="5"/>
    <n v="50000"/>
    <n v="250000"/>
    <n v="50000"/>
  </r>
  <r>
    <x v="52"/>
    <x v="1"/>
    <x v="1"/>
    <x v="1"/>
    <n v="5"/>
    <n v="50000"/>
    <n v="250000"/>
    <n v="50000"/>
  </r>
  <r>
    <x v="53"/>
    <x v="1"/>
    <x v="1"/>
    <x v="1"/>
    <n v="5"/>
    <n v="50000"/>
    <n v="250000"/>
    <n v="50000"/>
  </r>
  <r>
    <x v="54"/>
    <x v="1"/>
    <x v="1"/>
    <x v="1"/>
    <n v="5"/>
    <n v="50000"/>
    <n v="250000"/>
    <n v="50000"/>
  </r>
  <r>
    <x v="55"/>
    <x v="1"/>
    <x v="1"/>
    <x v="1"/>
    <n v="5"/>
    <n v="50000"/>
    <n v="250000"/>
    <n v="50000"/>
  </r>
  <r>
    <x v="56"/>
    <x v="1"/>
    <x v="1"/>
    <x v="1"/>
    <n v="5"/>
    <n v="50000"/>
    <n v="250000"/>
    <n v="50000"/>
  </r>
  <r>
    <x v="57"/>
    <x v="1"/>
    <x v="1"/>
    <x v="1"/>
    <n v="5"/>
    <n v="50000"/>
    <n v="250000"/>
    <n v="50000"/>
  </r>
  <r>
    <x v="58"/>
    <x v="1"/>
    <x v="1"/>
    <x v="1"/>
    <n v="5"/>
    <n v="50000"/>
    <n v="250000"/>
    <n v="50000"/>
  </r>
  <r>
    <x v="59"/>
    <x v="1"/>
    <x v="1"/>
    <x v="1"/>
    <n v="5"/>
    <n v="50000"/>
    <n v="250000"/>
    <n v="50000"/>
  </r>
  <r>
    <x v="60"/>
    <x v="1"/>
    <x v="1"/>
    <x v="1"/>
    <n v="5"/>
    <n v="50000"/>
    <n v="250000"/>
    <n v="50000"/>
  </r>
  <r>
    <x v="61"/>
    <x v="1"/>
    <x v="1"/>
    <x v="1"/>
    <n v="5"/>
    <n v="50000"/>
    <n v="250000"/>
    <n v="50000"/>
  </r>
  <r>
    <x v="62"/>
    <x v="1"/>
    <x v="1"/>
    <x v="1"/>
    <n v="5"/>
    <n v="50000"/>
    <n v="250000"/>
    <n v="50000"/>
  </r>
  <r>
    <x v="63"/>
    <x v="1"/>
    <x v="1"/>
    <x v="1"/>
    <n v="5"/>
    <n v="50000"/>
    <n v="250000"/>
    <n v="50000"/>
  </r>
  <r>
    <x v="64"/>
    <x v="1"/>
    <x v="1"/>
    <x v="1"/>
    <n v="5"/>
    <n v="50000"/>
    <n v="250000"/>
    <n v="50000"/>
  </r>
  <r>
    <x v="65"/>
    <x v="1"/>
    <x v="1"/>
    <x v="1"/>
    <n v="5"/>
    <n v="50000"/>
    <n v="250000"/>
    <n v="50000"/>
  </r>
  <r>
    <x v="66"/>
    <x v="1"/>
    <x v="1"/>
    <x v="1"/>
    <n v="5"/>
    <n v="50000"/>
    <n v="250000"/>
    <n v="50000"/>
  </r>
  <r>
    <x v="67"/>
    <x v="1"/>
    <x v="1"/>
    <x v="1"/>
    <n v="5"/>
    <n v="50000"/>
    <n v="250000"/>
    <n v="50000"/>
  </r>
  <r>
    <x v="68"/>
    <x v="1"/>
    <x v="1"/>
    <x v="1"/>
    <n v="5"/>
    <n v="50000"/>
    <n v="250000"/>
    <n v="50000"/>
  </r>
  <r>
    <x v="69"/>
    <x v="1"/>
    <x v="1"/>
    <x v="1"/>
    <n v="5"/>
    <n v="50000"/>
    <n v="250000"/>
    <n v="50000"/>
  </r>
  <r>
    <x v="70"/>
    <x v="1"/>
    <x v="1"/>
    <x v="1"/>
    <n v="5"/>
    <n v="50000"/>
    <n v="250000"/>
    <n v="50000"/>
  </r>
  <r>
    <x v="71"/>
    <x v="1"/>
    <x v="1"/>
    <x v="1"/>
    <n v="5"/>
    <n v="50000"/>
    <n v="250000"/>
    <n v="50000"/>
  </r>
  <r>
    <x v="72"/>
    <x v="1"/>
    <x v="1"/>
    <x v="1"/>
    <n v="5"/>
    <n v="50000"/>
    <n v="250000"/>
    <n v="50000"/>
  </r>
  <r>
    <x v="73"/>
    <x v="1"/>
    <x v="1"/>
    <x v="1"/>
    <n v="5"/>
    <n v="50000"/>
    <n v="250000"/>
    <n v="50000"/>
  </r>
  <r>
    <x v="74"/>
    <x v="1"/>
    <x v="1"/>
    <x v="1"/>
    <n v="5"/>
    <n v="50000"/>
    <n v="250000"/>
    <n v="50000"/>
  </r>
  <r>
    <x v="75"/>
    <x v="1"/>
    <x v="1"/>
    <x v="1"/>
    <n v="5"/>
    <n v="50000"/>
    <n v="250000"/>
    <n v="50000"/>
  </r>
  <r>
    <x v="76"/>
    <x v="1"/>
    <x v="1"/>
    <x v="1"/>
    <n v="5"/>
    <n v="50000"/>
    <n v="250000"/>
    <n v="50000"/>
  </r>
  <r>
    <x v="77"/>
    <x v="1"/>
    <x v="1"/>
    <x v="1"/>
    <n v="5"/>
    <n v="50000"/>
    <n v="250000"/>
    <n v="50000"/>
  </r>
  <r>
    <x v="78"/>
    <x v="1"/>
    <x v="1"/>
    <x v="1"/>
    <n v="5"/>
    <n v="50000"/>
    <n v="250000"/>
    <n v="50000"/>
  </r>
  <r>
    <x v="79"/>
    <x v="1"/>
    <x v="1"/>
    <x v="1"/>
    <n v="5"/>
    <n v="50000"/>
    <n v="250000"/>
    <n v="50000"/>
  </r>
  <r>
    <x v="80"/>
    <x v="1"/>
    <x v="1"/>
    <x v="1"/>
    <n v="5"/>
    <n v="50000"/>
    <n v="250000"/>
    <n v="50000"/>
  </r>
  <r>
    <x v="81"/>
    <x v="1"/>
    <x v="1"/>
    <x v="1"/>
    <n v="5"/>
    <n v="50000"/>
    <n v="250000"/>
    <n v="50000"/>
  </r>
  <r>
    <x v="82"/>
    <x v="1"/>
    <x v="1"/>
    <x v="1"/>
    <n v="5"/>
    <n v="50000"/>
    <n v="250000"/>
    <n v="50000"/>
  </r>
  <r>
    <x v="83"/>
    <x v="1"/>
    <x v="1"/>
    <x v="1"/>
    <n v="5"/>
    <n v="50000"/>
    <n v="250000"/>
    <n v="50000"/>
  </r>
  <r>
    <x v="84"/>
    <x v="1"/>
    <x v="1"/>
    <x v="1"/>
    <n v="5"/>
    <n v="50000"/>
    <n v="250000"/>
    <n v="50000"/>
  </r>
  <r>
    <x v="85"/>
    <x v="1"/>
    <x v="1"/>
    <x v="1"/>
    <n v="5"/>
    <n v="50000"/>
    <n v="250000"/>
    <n v="50000"/>
  </r>
  <r>
    <x v="86"/>
    <x v="1"/>
    <x v="1"/>
    <x v="1"/>
    <n v="5"/>
    <n v="50000"/>
    <n v="250000"/>
    <n v="50000"/>
  </r>
  <r>
    <x v="87"/>
    <x v="1"/>
    <x v="1"/>
    <x v="1"/>
    <n v="5"/>
    <n v="50000"/>
    <n v="250000"/>
    <n v="50000"/>
  </r>
  <r>
    <x v="88"/>
    <x v="1"/>
    <x v="1"/>
    <x v="1"/>
    <n v="5"/>
    <n v="50000"/>
    <n v="250000"/>
    <n v="50000"/>
  </r>
  <r>
    <x v="89"/>
    <x v="1"/>
    <x v="1"/>
    <x v="1"/>
    <n v="5"/>
    <n v="50000"/>
    <n v="250000"/>
    <n v="50000"/>
  </r>
  <r>
    <x v="90"/>
    <x v="1"/>
    <x v="1"/>
    <x v="1"/>
    <n v="5"/>
    <n v="50000"/>
    <n v="250000"/>
    <n v="50000"/>
  </r>
  <r>
    <x v="91"/>
    <x v="1"/>
    <x v="1"/>
    <x v="1"/>
    <n v="5"/>
    <n v="50000"/>
    <n v="250000"/>
    <n v="50000"/>
  </r>
  <r>
    <x v="92"/>
    <x v="1"/>
    <x v="1"/>
    <x v="1"/>
    <n v="5"/>
    <n v="50000"/>
    <n v="250000"/>
    <n v="50000"/>
  </r>
  <r>
    <x v="93"/>
    <x v="1"/>
    <x v="1"/>
    <x v="1"/>
    <n v="5"/>
    <n v="50000"/>
    <n v="250000"/>
    <n v="50000"/>
  </r>
  <r>
    <x v="94"/>
    <x v="1"/>
    <x v="1"/>
    <x v="1"/>
    <n v="5"/>
    <n v="50000"/>
    <n v="250000"/>
    <n v="50000"/>
  </r>
  <r>
    <x v="95"/>
    <x v="1"/>
    <x v="1"/>
    <x v="1"/>
    <n v="5"/>
    <n v="50000"/>
    <n v="250000"/>
    <n v="50000"/>
  </r>
  <r>
    <x v="96"/>
    <x v="1"/>
    <x v="1"/>
    <x v="1"/>
    <n v="5"/>
    <n v="50000"/>
    <n v="250000"/>
    <n v="50000"/>
  </r>
  <r>
    <x v="97"/>
    <x v="1"/>
    <x v="1"/>
    <x v="1"/>
    <n v="5"/>
    <n v="50000"/>
    <n v="250000"/>
    <n v="50000"/>
  </r>
  <r>
    <x v="98"/>
    <x v="1"/>
    <x v="1"/>
    <x v="1"/>
    <n v="5"/>
    <n v="50000"/>
    <n v="250000"/>
    <n v="50000"/>
  </r>
  <r>
    <x v="99"/>
    <x v="1"/>
    <x v="1"/>
    <x v="1"/>
    <n v="5"/>
    <n v="50000"/>
    <n v="250000"/>
    <n v="50000"/>
  </r>
  <r>
    <x v="100"/>
    <x v="2"/>
    <x v="2"/>
    <x v="2"/>
    <n v="12"/>
    <n v="60"/>
    <n v="720"/>
    <n v="144"/>
  </r>
  <r>
    <x v="101"/>
    <x v="2"/>
    <x v="2"/>
    <x v="2"/>
    <n v="12"/>
    <n v="60"/>
    <n v="720"/>
    <n v="144"/>
  </r>
  <r>
    <x v="102"/>
    <x v="2"/>
    <x v="2"/>
    <x v="2"/>
    <n v="12"/>
    <n v="60"/>
    <n v="720"/>
    <n v="144"/>
  </r>
  <r>
    <x v="103"/>
    <x v="2"/>
    <x v="2"/>
    <x v="2"/>
    <n v="12"/>
    <n v="60"/>
    <n v="720"/>
    <n v="144"/>
  </r>
  <r>
    <x v="104"/>
    <x v="2"/>
    <x v="2"/>
    <x v="2"/>
    <n v="12"/>
    <n v="60"/>
    <n v="720"/>
    <n v="144"/>
  </r>
  <r>
    <x v="105"/>
    <x v="2"/>
    <x v="2"/>
    <x v="2"/>
    <n v="12"/>
    <n v="60"/>
    <n v="720"/>
    <n v="144"/>
  </r>
  <r>
    <x v="106"/>
    <x v="2"/>
    <x v="2"/>
    <x v="2"/>
    <n v="12"/>
    <n v="60"/>
    <n v="720"/>
    <n v="144"/>
  </r>
  <r>
    <x v="107"/>
    <x v="2"/>
    <x v="2"/>
    <x v="2"/>
    <n v="12"/>
    <n v="60"/>
    <n v="720"/>
    <n v="144"/>
  </r>
  <r>
    <x v="108"/>
    <x v="2"/>
    <x v="2"/>
    <x v="2"/>
    <n v="12"/>
    <n v="60"/>
    <n v="720"/>
    <n v="144"/>
  </r>
  <r>
    <x v="109"/>
    <x v="2"/>
    <x v="2"/>
    <x v="2"/>
    <n v="12"/>
    <n v="60"/>
    <n v="720"/>
    <n v="144"/>
  </r>
  <r>
    <x v="110"/>
    <x v="2"/>
    <x v="2"/>
    <x v="2"/>
    <n v="12"/>
    <n v="60"/>
    <n v="720"/>
    <n v="144"/>
  </r>
  <r>
    <x v="111"/>
    <x v="2"/>
    <x v="2"/>
    <x v="2"/>
    <n v="12"/>
    <n v="60"/>
    <n v="720"/>
    <n v="144"/>
  </r>
  <r>
    <x v="112"/>
    <x v="2"/>
    <x v="2"/>
    <x v="2"/>
    <n v="12"/>
    <n v="60"/>
    <n v="720"/>
    <n v="144"/>
  </r>
  <r>
    <x v="113"/>
    <x v="2"/>
    <x v="2"/>
    <x v="2"/>
    <n v="12"/>
    <n v="60"/>
    <n v="720"/>
    <n v="144"/>
  </r>
  <r>
    <x v="114"/>
    <x v="2"/>
    <x v="2"/>
    <x v="2"/>
    <n v="12"/>
    <n v="60"/>
    <n v="720"/>
    <n v="144"/>
  </r>
  <r>
    <x v="115"/>
    <x v="2"/>
    <x v="2"/>
    <x v="2"/>
    <n v="12"/>
    <n v="60"/>
    <n v="720"/>
    <n v="144"/>
  </r>
  <r>
    <x v="116"/>
    <x v="2"/>
    <x v="2"/>
    <x v="2"/>
    <n v="12"/>
    <n v="60"/>
    <n v="720"/>
    <n v="144"/>
  </r>
  <r>
    <x v="117"/>
    <x v="2"/>
    <x v="2"/>
    <x v="2"/>
    <n v="12"/>
    <n v="60"/>
    <n v="720"/>
    <n v="144"/>
  </r>
  <r>
    <x v="118"/>
    <x v="2"/>
    <x v="2"/>
    <x v="2"/>
    <n v="12"/>
    <n v="60"/>
    <n v="720"/>
    <n v="144"/>
  </r>
  <r>
    <x v="119"/>
    <x v="2"/>
    <x v="2"/>
    <x v="2"/>
    <n v="12"/>
    <n v="60"/>
    <n v="720"/>
    <n v="144"/>
  </r>
  <r>
    <x v="120"/>
    <x v="2"/>
    <x v="2"/>
    <x v="2"/>
    <n v="12"/>
    <n v="60"/>
    <n v="720"/>
    <n v="144"/>
  </r>
  <r>
    <x v="121"/>
    <x v="2"/>
    <x v="2"/>
    <x v="2"/>
    <n v="12"/>
    <n v="60"/>
    <n v="720"/>
    <n v="144"/>
  </r>
  <r>
    <x v="122"/>
    <x v="2"/>
    <x v="2"/>
    <x v="2"/>
    <n v="12"/>
    <n v="60"/>
    <n v="720"/>
    <n v="144"/>
  </r>
  <r>
    <x v="123"/>
    <x v="2"/>
    <x v="2"/>
    <x v="2"/>
    <n v="12"/>
    <n v="60"/>
    <n v="720"/>
    <n v="144"/>
  </r>
  <r>
    <x v="124"/>
    <x v="2"/>
    <x v="2"/>
    <x v="2"/>
    <n v="12"/>
    <n v="60"/>
    <n v="720"/>
    <n v="144"/>
  </r>
  <r>
    <x v="125"/>
    <x v="2"/>
    <x v="2"/>
    <x v="2"/>
    <n v="12"/>
    <n v="60"/>
    <n v="720"/>
    <n v="144"/>
  </r>
  <r>
    <x v="126"/>
    <x v="2"/>
    <x v="2"/>
    <x v="2"/>
    <n v="12"/>
    <n v="60"/>
    <n v="720"/>
    <n v="144"/>
  </r>
  <r>
    <x v="127"/>
    <x v="2"/>
    <x v="2"/>
    <x v="2"/>
    <n v="12"/>
    <n v="60"/>
    <n v="720"/>
    <n v="144"/>
  </r>
  <r>
    <x v="128"/>
    <x v="2"/>
    <x v="2"/>
    <x v="2"/>
    <n v="12"/>
    <n v="60"/>
    <n v="720"/>
    <n v="144"/>
  </r>
  <r>
    <x v="129"/>
    <x v="2"/>
    <x v="2"/>
    <x v="2"/>
    <n v="12"/>
    <n v="60"/>
    <n v="720"/>
    <n v="144"/>
  </r>
  <r>
    <x v="130"/>
    <x v="2"/>
    <x v="2"/>
    <x v="2"/>
    <n v="12"/>
    <n v="60"/>
    <n v="720"/>
    <n v="144"/>
  </r>
  <r>
    <x v="131"/>
    <x v="2"/>
    <x v="2"/>
    <x v="2"/>
    <n v="12"/>
    <n v="60"/>
    <n v="720"/>
    <n v="144"/>
  </r>
  <r>
    <x v="132"/>
    <x v="2"/>
    <x v="2"/>
    <x v="2"/>
    <n v="12"/>
    <n v="60"/>
    <n v="720"/>
    <n v="144"/>
  </r>
  <r>
    <x v="133"/>
    <x v="2"/>
    <x v="2"/>
    <x v="2"/>
    <n v="12"/>
    <n v="60"/>
    <n v="720"/>
    <n v="144"/>
  </r>
  <r>
    <x v="134"/>
    <x v="2"/>
    <x v="2"/>
    <x v="2"/>
    <n v="12"/>
    <n v="60"/>
    <n v="720"/>
    <n v="144"/>
  </r>
  <r>
    <x v="135"/>
    <x v="2"/>
    <x v="2"/>
    <x v="2"/>
    <n v="12"/>
    <n v="60"/>
    <n v="720"/>
    <n v="144"/>
  </r>
  <r>
    <x v="136"/>
    <x v="2"/>
    <x v="2"/>
    <x v="2"/>
    <n v="12"/>
    <n v="60"/>
    <n v="720"/>
    <n v="144"/>
  </r>
  <r>
    <x v="137"/>
    <x v="2"/>
    <x v="2"/>
    <x v="2"/>
    <n v="12"/>
    <n v="60"/>
    <n v="720"/>
    <n v="144"/>
  </r>
  <r>
    <x v="138"/>
    <x v="2"/>
    <x v="2"/>
    <x v="2"/>
    <n v="12"/>
    <n v="60"/>
    <n v="720"/>
    <n v="144"/>
  </r>
  <r>
    <x v="139"/>
    <x v="2"/>
    <x v="2"/>
    <x v="2"/>
    <n v="12"/>
    <n v="60"/>
    <n v="720"/>
    <n v="144"/>
  </r>
  <r>
    <x v="140"/>
    <x v="2"/>
    <x v="2"/>
    <x v="2"/>
    <n v="12"/>
    <n v="60"/>
    <n v="720"/>
    <n v="144"/>
  </r>
  <r>
    <x v="141"/>
    <x v="2"/>
    <x v="2"/>
    <x v="2"/>
    <n v="12"/>
    <n v="60"/>
    <n v="720"/>
    <n v="144"/>
  </r>
  <r>
    <x v="142"/>
    <x v="2"/>
    <x v="2"/>
    <x v="2"/>
    <n v="12"/>
    <n v="60"/>
    <n v="720"/>
    <n v="144"/>
  </r>
  <r>
    <x v="143"/>
    <x v="2"/>
    <x v="2"/>
    <x v="2"/>
    <n v="12"/>
    <n v="60"/>
    <n v="720"/>
    <n v="144"/>
  </r>
  <r>
    <x v="144"/>
    <x v="2"/>
    <x v="2"/>
    <x v="2"/>
    <n v="12"/>
    <n v="60"/>
    <n v="720"/>
    <n v="144"/>
  </r>
  <r>
    <x v="145"/>
    <x v="2"/>
    <x v="2"/>
    <x v="2"/>
    <n v="12"/>
    <n v="60"/>
    <n v="720"/>
    <n v="144"/>
  </r>
  <r>
    <x v="146"/>
    <x v="2"/>
    <x v="2"/>
    <x v="2"/>
    <n v="12"/>
    <n v="60"/>
    <n v="720"/>
    <n v="144"/>
  </r>
  <r>
    <x v="147"/>
    <x v="2"/>
    <x v="2"/>
    <x v="2"/>
    <n v="12"/>
    <n v="60"/>
    <n v="720"/>
    <n v="144"/>
  </r>
  <r>
    <x v="148"/>
    <x v="2"/>
    <x v="2"/>
    <x v="2"/>
    <n v="12"/>
    <n v="60"/>
    <n v="720"/>
    <n v="144"/>
  </r>
  <r>
    <x v="149"/>
    <x v="2"/>
    <x v="2"/>
    <x v="2"/>
    <n v="12"/>
    <n v="60"/>
    <n v="720"/>
    <n v="144"/>
  </r>
  <r>
    <x v="150"/>
    <x v="3"/>
    <x v="3"/>
    <x v="3"/>
    <n v="8"/>
    <n v="800"/>
    <n v="6400"/>
    <n v="1280"/>
  </r>
  <r>
    <x v="151"/>
    <x v="3"/>
    <x v="3"/>
    <x v="3"/>
    <n v="8"/>
    <n v="800"/>
    <n v="6400"/>
    <n v="1280"/>
  </r>
  <r>
    <x v="152"/>
    <x v="3"/>
    <x v="3"/>
    <x v="3"/>
    <n v="8"/>
    <n v="800"/>
    <n v="6400"/>
    <n v="1280"/>
  </r>
  <r>
    <x v="153"/>
    <x v="3"/>
    <x v="3"/>
    <x v="3"/>
    <n v="8"/>
    <n v="800"/>
    <n v="6400"/>
    <n v="1280"/>
  </r>
  <r>
    <x v="154"/>
    <x v="3"/>
    <x v="3"/>
    <x v="3"/>
    <n v="8"/>
    <n v="800"/>
    <n v="6400"/>
    <n v="1280"/>
  </r>
  <r>
    <x v="155"/>
    <x v="3"/>
    <x v="3"/>
    <x v="3"/>
    <n v="8"/>
    <n v="800"/>
    <n v="6400"/>
    <n v="1280"/>
  </r>
  <r>
    <x v="156"/>
    <x v="3"/>
    <x v="3"/>
    <x v="3"/>
    <n v="8"/>
    <n v="800"/>
    <n v="6400"/>
    <n v="1280"/>
  </r>
  <r>
    <x v="157"/>
    <x v="3"/>
    <x v="3"/>
    <x v="3"/>
    <n v="8"/>
    <n v="800"/>
    <n v="6400"/>
    <n v="1280"/>
  </r>
  <r>
    <x v="158"/>
    <x v="3"/>
    <x v="3"/>
    <x v="3"/>
    <n v="8"/>
    <n v="800"/>
    <n v="6400"/>
    <n v="1280"/>
  </r>
  <r>
    <x v="159"/>
    <x v="3"/>
    <x v="3"/>
    <x v="3"/>
    <n v="8"/>
    <n v="800"/>
    <n v="6400"/>
    <n v="1280"/>
  </r>
  <r>
    <x v="160"/>
    <x v="3"/>
    <x v="3"/>
    <x v="3"/>
    <n v="8"/>
    <n v="800"/>
    <n v="6400"/>
    <n v="1280"/>
  </r>
  <r>
    <x v="161"/>
    <x v="3"/>
    <x v="3"/>
    <x v="3"/>
    <n v="8"/>
    <n v="800"/>
    <n v="6400"/>
    <n v="1280"/>
  </r>
  <r>
    <x v="162"/>
    <x v="3"/>
    <x v="3"/>
    <x v="3"/>
    <n v="8"/>
    <n v="800"/>
    <n v="6400"/>
    <n v="1280"/>
  </r>
  <r>
    <x v="163"/>
    <x v="3"/>
    <x v="3"/>
    <x v="3"/>
    <n v="8"/>
    <n v="800"/>
    <n v="6400"/>
    <n v="1280"/>
  </r>
  <r>
    <x v="164"/>
    <x v="3"/>
    <x v="3"/>
    <x v="3"/>
    <n v="8"/>
    <n v="800"/>
    <n v="6400"/>
    <n v="1280"/>
  </r>
  <r>
    <x v="165"/>
    <x v="3"/>
    <x v="3"/>
    <x v="3"/>
    <n v="8"/>
    <n v="800"/>
    <n v="6400"/>
    <n v="1280"/>
  </r>
  <r>
    <x v="166"/>
    <x v="3"/>
    <x v="3"/>
    <x v="3"/>
    <n v="8"/>
    <n v="800"/>
    <n v="6400"/>
    <n v="1280"/>
  </r>
  <r>
    <x v="167"/>
    <x v="3"/>
    <x v="3"/>
    <x v="3"/>
    <n v="8"/>
    <n v="800"/>
    <n v="6400"/>
    <n v="1280"/>
  </r>
  <r>
    <x v="168"/>
    <x v="3"/>
    <x v="3"/>
    <x v="3"/>
    <n v="8"/>
    <n v="800"/>
    <n v="6400"/>
    <n v="1280"/>
  </r>
  <r>
    <x v="169"/>
    <x v="3"/>
    <x v="3"/>
    <x v="3"/>
    <n v="8"/>
    <n v="800"/>
    <n v="6400"/>
    <n v="1280"/>
  </r>
  <r>
    <x v="170"/>
    <x v="3"/>
    <x v="3"/>
    <x v="3"/>
    <n v="8"/>
    <n v="800"/>
    <n v="6400"/>
    <n v="1280"/>
  </r>
  <r>
    <x v="171"/>
    <x v="3"/>
    <x v="3"/>
    <x v="3"/>
    <n v="8"/>
    <n v="800"/>
    <n v="6400"/>
    <n v="1280"/>
  </r>
  <r>
    <x v="172"/>
    <x v="3"/>
    <x v="3"/>
    <x v="3"/>
    <n v="8"/>
    <n v="800"/>
    <n v="6400"/>
    <n v="1280"/>
  </r>
  <r>
    <x v="173"/>
    <x v="3"/>
    <x v="3"/>
    <x v="3"/>
    <n v="8"/>
    <n v="800"/>
    <n v="6400"/>
    <n v="1280"/>
  </r>
  <r>
    <x v="174"/>
    <x v="3"/>
    <x v="3"/>
    <x v="3"/>
    <n v="8"/>
    <n v="800"/>
    <n v="6400"/>
    <n v="1280"/>
  </r>
  <r>
    <x v="175"/>
    <x v="3"/>
    <x v="3"/>
    <x v="3"/>
    <n v="8"/>
    <n v="800"/>
    <n v="6400"/>
    <n v="1280"/>
  </r>
  <r>
    <x v="176"/>
    <x v="3"/>
    <x v="3"/>
    <x v="3"/>
    <n v="8"/>
    <n v="800"/>
    <n v="6400"/>
    <n v="1280"/>
  </r>
  <r>
    <x v="177"/>
    <x v="3"/>
    <x v="3"/>
    <x v="3"/>
    <n v="8"/>
    <n v="800"/>
    <n v="6400"/>
    <n v="1280"/>
  </r>
  <r>
    <x v="178"/>
    <x v="3"/>
    <x v="3"/>
    <x v="3"/>
    <n v="8"/>
    <n v="800"/>
    <n v="6400"/>
    <n v="1280"/>
  </r>
  <r>
    <x v="179"/>
    <x v="3"/>
    <x v="3"/>
    <x v="3"/>
    <n v="8"/>
    <n v="800"/>
    <n v="6400"/>
    <n v="1280"/>
  </r>
  <r>
    <x v="180"/>
    <x v="3"/>
    <x v="3"/>
    <x v="3"/>
    <n v="8"/>
    <n v="800"/>
    <n v="6400"/>
    <n v="1280"/>
  </r>
  <r>
    <x v="181"/>
    <x v="3"/>
    <x v="3"/>
    <x v="3"/>
    <n v="8"/>
    <n v="800"/>
    <n v="6400"/>
    <n v="1280"/>
  </r>
  <r>
    <x v="182"/>
    <x v="3"/>
    <x v="3"/>
    <x v="3"/>
    <n v="8"/>
    <n v="800"/>
    <n v="6400"/>
    <n v="1280"/>
  </r>
  <r>
    <x v="183"/>
    <x v="3"/>
    <x v="3"/>
    <x v="3"/>
    <n v="8"/>
    <n v="800"/>
    <n v="6400"/>
    <n v="1280"/>
  </r>
  <r>
    <x v="184"/>
    <x v="3"/>
    <x v="3"/>
    <x v="3"/>
    <n v="8"/>
    <n v="800"/>
    <n v="6400"/>
    <n v="1280"/>
  </r>
  <r>
    <x v="185"/>
    <x v="3"/>
    <x v="3"/>
    <x v="3"/>
    <n v="8"/>
    <n v="800"/>
    <n v="6400"/>
    <n v="1280"/>
  </r>
  <r>
    <x v="186"/>
    <x v="3"/>
    <x v="3"/>
    <x v="3"/>
    <n v="8"/>
    <n v="800"/>
    <n v="6400"/>
    <n v="1280"/>
  </r>
  <r>
    <x v="187"/>
    <x v="3"/>
    <x v="3"/>
    <x v="3"/>
    <n v="8"/>
    <n v="800"/>
    <n v="6400"/>
    <n v="1280"/>
  </r>
  <r>
    <x v="188"/>
    <x v="3"/>
    <x v="3"/>
    <x v="3"/>
    <n v="8"/>
    <n v="800"/>
    <n v="6400"/>
    <n v="1280"/>
  </r>
  <r>
    <x v="189"/>
    <x v="3"/>
    <x v="3"/>
    <x v="3"/>
    <n v="8"/>
    <n v="800"/>
    <n v="6400"/>
    <n v="1280"/>
  </r>
  <r>
    <x v="190"/>
    <x v="3"/>
    <x v="3"/>
    <x v="3"/>
    <n v="8"/>
    <n v="800"/>
    <n v="6400"/>
    <n v="1280"/>
  </r>
  <r>
    <x v="191"/>
    <x v="3"/>
    <x v="3"/>
    <x v="3"/>
    <n v="8"/>
    <n v="800"/>
    <n v="6400"/>
    <n v="1280"/>
  </r>
  <r>
    <x v="192"/>
    <x v="3"/>
    <x v="3"/>
    <x v="3"/>
    <n v="8"/>
    <n v="800"/>
    <n v="6400"/>
    <n v="1280"/>
  </r>
  <r>
    <x v="193"/>
    <x v="3"/>
    <x v="3"/>
    <x v="3"/>
    <n v="8"/>
    <n v="800"/>
    <n v="6400"/>
    <n v="1280"/>
  </r>
  <r>
    <x v="194"/>
    <x v="3"/>
    <x v="3"/>
    <x v="3"/>
    <n v="8"/>
    <n v="800"/>
    <n v="6400"/>
    <n v="1280"/>
  </r>
  <r>
    <x v="195"/>
    <x v="3"/>
    <x v="3"/>
    <x v="3"/>
    <n v="8"/>
    <n v="800"/>
    <n v="6400"/>
    <n v="1280"/>
  </r>
  <r>
    <x v="196"/>
    <x v="3"/>
    <x v="3"/>
    <x v="3"/>
    <n v="8"/>
    <n v="800"/>
    <n v="6400"/>
    <n v="1280"/>
  </r>
  <r>
    <x v="197"/>
    <x v="3"/>
    <x v="3"/>
    <x v="3"/>
    <n v="8"/>
    <n v="800"/>
    <n v="6400"/>
    <n v="1280"/>
  </r>
  <r>
    <x v="198"/>
    <x v="3"/>
    <x v="3"/>
    <x v="3"/>
    <n v="8"/>
    <n v="800"/>
    <n v="6400"/>
    <n v="1280"/>
  </r>
  <r>
    <x v="199"/>
    <x v="3"/>
    <x v="3"/>
    <x v="3"/>
    <n v="8"/>
    <n v="800"/>
    <n v="6400"/>
    <n v="12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x v="0"/>
    <x v="0"/>
    <x v="0"/>
    <n v="5"/>
    <n v="50000"/>
    <n v="250000"/>
    <n v="50000"/>
  </r>
  <r>
    <x v="1"/>
    <x v="1"/>
    <x v="1"/>
    <x v="1"/>
    <n v="8"/>
    <n v="800"/>
    <n v="6400"/>
    <n v="1280"/>
  </r>
  <r>
    <x v="2"/>
    <x v="2"/>
    <x v="2"/>
    <x v="2"/>
    <n v="12"/>
    <n v="60"/>
    <n v="720"/>
    <n v="144"/>
  </r>
  <r>
    <x v="3"/>
    <x v="3"/>
    <x v="3"/>
    <x v="3"/>
    <n v="3"/>
    <n v="300"/>
    <n v="900"/>
    <n v="180"/>
  </r>
  <r>
    <x v="4"/>
    <x v="0"/>
    <x v="0"/>
    <x v="0"/>
    <n v="5"/>
    <n v="50000"/>
    <n v="250000"/>
    <n v="50000"/>
  </r>
  <r>
    <x v="5"/>
    <x v="1"/>
    <x v="1"/>
    <x v="1"/>
    <n v="8"/>
    <n v="800"/>
    <n v="6400"/>
    <n v="1280"/>
  </r>
  <r>
    <x v="6"/>
    <x v="2"/>
    <x v="2"/>
    <x v="2"/>
    <n v="12"/>
    <n v="60"/>
    <n v="720"/>
    <n v="144"/>
  </r>
  <r>
    <x v="7"/>
    <x v="3"/>
    <x v="3"/>
    <x v="3"/>
    <n v="3"/>
    <n v="300"/>
    <n v="900"/>
    <n v="180"/>
  </r>
  <r>
    <x v="8"/>
    <x v="0"/>
    <x v="0"/>
    <x v="0"/>
    <n v="5"/>
    <n v="50000"/>
    <n v="250000"/>
    <n v="50000"/>
  </r>
  <r>
    <x v="9"/>
    <x v="1"/>
    <x v="1"/>
    <x v="1"/>
    <n v="8"/>
    <n v="800"/>
    <n v="6400"/>
    <n v="1280"/>
  </r>
  <r>
    <x v="10"/>
    <x v="2"/>
    <x v="2"/>
    <x v="2"/>
    <n v="12"/>
    <n v="60"/>
    <n v="720"/>
    <n v="144"/>
  </r>
  <r>
    <x v="11"/>
    <x v="3"/>
    <x v="3"/>
    <x v="3"/>
    <n v="3"/>
    <n v="300"/>
    <n v="900"/>
    <n v="180"/>
  </r>
  <r>
    <x v="12"/>
    <x v="0"/>
    <x v="0"/>
    <x v="0"/>
    <n v="5"/>
    <n v="50000"/>
    <n v="250000"/>
    <n v="50000"/>
  </r>
  <r>
    <x v="13"/>
    <x v="1"/>
    <x v="1"/>
    <x v="1"/>
    <n v="8"/>
    <n v="800"/>
    <n v="6400"/>
    <n v="1280"/>
  </r>
  <r>
    <x v="14"/>
    <x v="2"/>
    <x v="2"/>
    <x v="2"/>
    <n v="12"/>
    <n v="60"/>
    <n v="720"/>
    <n v="144"/>
  </r>
  <r>
    <x v="15"/>
    <x v="3"/>
    <x v="3"/>
    <x v="3"/>
    <n v="3"/>
    <n v="300"/>
    <n v="900"/>
    <n v="180"/>
  </r>
  <r>
    <x v="16"/>
    <x v="0"/>
    <x v="0"/>
    <x v="0"/>
    <n v="5"/>
    <n v="50000"/>
    <n v="250000"/>
    <n v="50000"/>
  </r>
  <r>
    <x v="17"/>
    <x v="1"/>
    <x v="1"/>
    <x v="1"/>
    <n v="8"/>
    <n v="800"/>
    <n v="6400"/>
    <n v="1280"/>
  </r>
  <r>
    <x v="18"/>
    <x v="2"/>
    <x v="2"/>
    <x v="2"/>
    <n v="12"/>
    <n v="60"/>
    <n v="720"/>
    <n v="144"/>
  </r>
  <r>
    <x v="19"/>
    <x v="3"/>
    <x v="3"/>
    <x v="3"/>
    <n v="3"/>
    <n v="300"/>
    <n v="900"/>
    <n v="180"/>
  </r>
  <r>
    <x v="20"/>
    <x v="0"/>
    <x v="0"/>
    <x v="0"/>
    <n v="5"/>
    <n v="50000"/>
    <n v="250000"/>
    <n v="50000"/>
  </r>
  <r>
    <x v="21"/>
    <x v="1"/>
    <x v="1"/>
    <x v="1"/>
    <n v="8"/>
    <n v="800"/>
    <n v="6400"/>
    <n v="1280"/>
  </r>
  <r>
    <x v="22"/>
    <x v="2"/>
    <x v="2"/>
    <x v="2"/>
    <n v="12"/>
    <n v="60"/>
    <n v="720"/>
    <n v="144"/>
  </r>
  <r>
    <x v="23"/>
    <x v="3"/>
    <x v="3"/>
    <x v="3"/>
    <n v="3"/>
    <n v="300"/>
    <n v="900"/>
    <n v="180"/>
  </r>
  <r>
    <x v="24"/>
    <x v="0"/>
    <x v="0"/>
    <x v="0"/>
    <n v="5"/>
    <n v="50000"/>
    <n v="250000"/>
    <n v="50000"/>
  </r>
  <r>
    <x v="25"/>
    <x v="1"/>
    <x v="1"/>
    <x v="1"/>
    <n v="8"/>
    <n v="800"/>
    <n v="6400"/>
    <n v="1280"/>
  </r>
  <r>
    <x v="26"/>
    <x v="2"/>
    <x v="2"/>
    <x v="2"/>
    <n v="12"/>
    <n v="60"/>
    <n v="720"/>
    <n v="144"/>
  </r>
  <r>
    <x v="27"/>
    <x v="3"/>
    <x v="3"/>
    <x v="3"/>
    <n v="3"/>
    <n v="300"/>
    <n v="900"/>
    <n v="180"/>
  </r>
  <r>
    <x v="28"/>
    <x v="0"/>
    <x v="0"/>
    <x v="0"/>
    <n v="5"/>
    <n v="50000"/>
    <n v="250000"/>
    <n v="50000"/>
  </r>
  <r>
    <x v="29"/>
    <x v="1"/>
    <x v="1"/>
    <x v="1"/>
    <n v="8"/>
    <n v="800"/>
    <n v="6400"/>
    <n v="1280"/>
  </r>
  <r>
    <x v="30"/>
    <x v="2"/>
    <x v="2"/>
    <x v="2"/>
    <n v="12"/>
    <n v="60"/>
    <n v="720"/>
    <n v="144"/>
  </r>
  <r>
    <x v="31"/>
    <x v="3"/>
    <x v="3"/>
    <x v="3"/>
    <n v="3"/>
    <n v="300"/>
    <n v="900"/>
    <n v="180"/>
  </r>
  <r>
    <x v="32"/>
    <x v="0"/>
    <x v="0"/>
    <x v="0"/>
    <n v="5"/>
    <n v="50000"/>
    <n v="250000"/>
    <n v="50000"/>
  </r>
  <r>
    <x v="33"/>
    <x v="1"/>
    <x v="1"/>
    <x v="1"/>
    <n v="8"/>
    <n v="800"/>
    <n v="6400"/>
    <n v="1280"/>
  </r>
  <r>
    <x v="34"/>
    <x v="2"/>
    <x v="2"/>
    <x v="2"/>
    <n v="12"/>
    <n v="60"/>
    <n v="720"/>
    <n v="144"/>
  </r>
  <r>
    <x v="35"/>
    <x v="3"/>
    <x v="3"/>
    <x v="3"/>
    <n v="3"/>
    <n v="300"/>
    <n v="900"/>
    <n v="180"/>
  </r>
  <r>
    <x v="36"/>
    <x v="0"/>
    <x v="0"/>
    <x v="0"/>
    <n v="5"/>
    <n v="50000"/>
    <n v="250000"/>
    <n v="50000"/>
  </r>
  <r>
    <x v="37"/>
    <x v="1"/>
    <x v="1"/>
    <x v="1"/>
    <n v="8"/>
    <n v="800"/>
    <n v="6400"/>
    <n v="1280"/>
  </r>
  <r>
    <x v="38"/>
    <x v="2"/>
    <x v="2"/>
    <x v="2"/>
    <n v="12"/>
    <n v="60"/>
    <n v="720"/>
    <n v="144"/>
  </r>
  <r>
    <x v="39"/>
    <x v="3"/>
    <x v="3"/>
    <x v="3"/>
    <n v="3"/>
    <n v="300"/>
    <n v="900"/>
    <n v="180"/>
  </r>
  <r>
    <x v="40"/>
    <x v="0"/>
    <x v="0"/>
    <x v="0"/>
    <n v="5"/>
    <n v="50000"/>
    <n v="250000"/>
    <n v="50000"/>
  </r>
  <r>
    <x v="41"/>
    <x v="1"/>
    <x v="1"/>
    <x v="1"/>
    <n v="8"/>
    <n v="800"/>
    <n v="6400"/>
    <n v="1280"/>
  </r>
  <r>
    <x v="42"/>
    <x v="2"/>
    <x v="2"/>
    <x v="2"/>
    <n v="12"/>
    <n v="60"/>
    <n v="720"/>
    <n v="144"/>
  </r>
  <r>
    <x v="43"/>
    <x v="3"/>
    <x v="3"/>
    <x v="3"/>
    <n v="3"/>
    <n v="300"/>
    <n v="900"/>
    <n v="180"/>
  </r>
  <r>
    <x v="44"/>
    <x v="0"/>
    <x v="0"/>
    <x v="0"/>
    <n v="5"/>
    <n v="50000"/>
    <n v="250000"/>
    <n v="50000"/>
  </r>
  <r>
    <x v="45"/>
    <x v="1"/>
    <x v="1"/>
    <x v="1"/>
    <n v="8"/>
    <n v="800"/>
    <n v="6400"/>
    <n v="1280"/>
  </r>
  <r>
    <x v="46"/>
    <x v="2"/>
    <x v="2"/>
    <x v="2"/>
    <n v="12"/>
    <n v="60"/>
    <n v="720"/>
    <n v="144"/>
  </r>
  <r>
    <x v="47"/>
    <x v="3"/>
    <x v="3"/>
    <x v="3"/>
    <n v="3"/>
    <n v="300"/>
    <n v="900"/>
    <n v="180"/>
  </r>
  <r>
    <x v="48"/>
    <x v="0"/>
    <x v="0"/>
    <x v="0"/>
    <n v="5"/>
    <n v="50000"/>
    <n v="250000"/>
    <n v="50000"/>
  </r>
  <r>
    <x v="49"/>
    <x v="1"/>
    <x v="1"/>
    <x v="1"/>
    <n v="8"/>
    <n v="800"/>
    <n v="6400"/>
    <n v="1280"/>
  </r>
  <r>
    <x v="50"/>
    <x v="2"/>
    <x v="2"/>
    <x v="2"/>
    <n v="12"/>
    <n v="60"/>
    <n v="720"/>
    <n v="144"/>
  </r>
  <r>
    <x v="51"/>
    <x v="3"/>
    <x v="3"/>
    <x v="3"/>
    <n v="3"/>
    <n v="300"/>
    <n v="900"/>
    <n v="180"/>
  </r>
  <r>
    <x v="52"/>
    <x v="0"/>
    <x v="0"/>
    <x v="0"/>
    <n v="5"/>
    <n v="50000"/>
    <n v="250000"/>
    <n v="50000"/>
  </r>
  <r>
    <x v="53"/>
    <x v="1"/>
    <x v="1"/>
    <x v="1"/>
    <n v="8"/>
    <n v="800"/>
    <n v="6400"/>
    <n v="1280"/>
  </r>
  <r>
    <x v="54"/>
    <x v="2"/>
    <x v="2"/>
    <x v="2"/>
    <n v="12"/>
    <n v="60"/>
    <n v="720"/>
    <n v="144"/>
  </r>
  <r>
    <x v="55"/>
    <x v="3"/>
    <x v="3"/>
    <x v="3"/>
    <n v="3"/>
    <n v="300"/>
    <n v="900"/>
    <n v="180"/>
  </r>
  <r>
    <x v="56"/>
    <x v="0"/>
    <x v="0"/>
    <x v="0"/>
    <n v="5"/>
    <n v="50000"/>
    <n v="250000"/>
    <n v="50000"/>
  </r>
  <r>
    <x v="57"/>
    <x v="1"/>
    <x v="1"/>
    <x v="1"/>
    <n v="8"/>
    <n v="800"/>
    <n v="6400"/>
    <n v="1280"/>
  </r>
  <r>
    <x v="58"/>
    <x v="2"/>
    <x v="2"/>
    <x v="2"/>
    <n v="12"/>
    <n v="60"/>
    <n v="720"/>
    <n v="144"/>
  </r>
  <r>
    <x v="59"/>
    <x v="3"/>
    <x v="3"/>
    <x v="3"/>
    <n v="3"/>
    <n v="300"/>
    <n v="900"/>
    <n v="180"/>
  </r>
  <r>
    <x v="60"/>
    <x v="0"/>
    <x v="0"/>
    <x v="0"/>
    <n v="5"/>
    <n v="50000"/>
    <n v="250000"/>
    <n v="50000"/>
  </r>
  <r>
    <x v="61"/>
    <x v="1"/>
    <x v="1"/>
    <x v="1"/>
    <n v="8"/>
    <n v="800"/>
    <n v="6400"/>
    <n v="1280"/>
  </r>
  <r>
    <x v="62"/>
    <x v="2"/>
    <x v="2"/>
    <x v="2"/>
    <n v="12"/>
    <n v="60"/>
    <n v="720"/>
    <n v="144"/>
  </r>
  <r>
    <x v="63"/>
    <x v="3"/>
    <x v="3"/>
    <x v="3"/>
    <n v="3"/>
    <n v="300"/>
    <n v="900"/>
    <n v="180"/>
  </r>
  <r>
    <x v="64"/>
    <x v="0"/>
    <x v="0"/>
    <x v="0"/>
    <n v="5"/>
    <n v="50000"/>
    <n v="250000"/>
    <n v="50000"/>
  </r>
  <r>
    <x v="65"/>
    <x v="1"/>
    <x v="1"/>
    <x v="1"/>
    <n v="8"/>
    <n v="800"/>
    <n v="6400"/>
    <n v="1280"/>
  </r>
  <r>
    <x v="66"/>
    <x v="2"/>
    <x v="2"/>
    <x v="2"/>
    <n v="12"/>
    <n v="60"/>
    <n v="720"/>
    <n v="144"/>
  </r>
  <r>
    <x v="67"/>
    <x v="3"/>
    <x v="3"/>
    <x v="3"/>
    <n v="3"/>
    <n v="300"/>
    <n v="900"/>
    <n v="180"/>
  </r>
  <r>
    <x v="68"/>
    <x v="0"/>
    <x v="0"/>
    <x v="0"/>
    <n v="5"/>
    <n v="50000"/>
    <n v="250000"/>
    <n v="50000"/>
  </r>
  <r>
    <x v="69"/>
    <x v="1"/>
    <x v="1"/>
    <x v="1"/>
    <n v="8"/>
    <n v="800"/>
    <n v="6400"/>
    <n v="1280"/>
  </r>
  <r>
    <x v="70"/>
    <x v="2"/>
    <x v="2"/>
    <x v="2"/>
    <n v="12"/>
    <n v="60"/>
    <n v="720"/>
    <n v="144"/>
  </r>
  <r>
    <x v="71"/>
    <x v="3"/>
    <x v="3"/>
    <x v="3"/>
    <n v="3"/>
    <n v="300"/>
    <n v="900"/>
    <n v="180"/>
  </r>
  <r>
    <x v="72"/>
    <x v="0"/>
    <x v="0"/>
    <x v="0"/>
    <n v="5"/>
    <n v="50000"/>
    <n v="250000"/>
    <n v="50000"/>
  </r>
  <r>
    <x v="73"/>
    <x v="1"/>
    <x v="1"/>
    <x v="1"/>
    <n v="8"/>
    <n v="800"/>
    <n v="6400"/>
    <n v="1280"/>
  </r>
  <r>
    <x v="74"/>
    <x v="2"/>
    <x v="2"/>
    <x v="2"/>
    <n v="12"/>
    <n v="60"/>
    <n v="720"/>
    <n v="144"/>
  </r>
  <r>
    <x v="75"/>
    <x v="3"/>
    <x v="3"/>
    <x v="3"/>
    <n v="3"/>
    <n v="300"/>
    <n v="900"/>
    <n v="180"/>
  </r>
  <r>
    <x v="76"/>
    <x v="0"/>
    <x v="0"/>
    <x v="0"/>
    <n v="5"/>
    <n v="50000"/>
    <n v="250000"/>
    <n v="50000"/>
  </r>
  <r>
    <x v="77"/>
    <x v="1"/>
    <x v="1"/>
    <x v="1"/>
    <n v="8"/>
    <n v="800"/>
    <n v="6400"/>
    <n v="1280"/>
  </r>
  <r>
    <x v="78"/>
    <x v="2"/>
    <x v="2"/>
    <x v="2"/>
    <n v="12"/>
    <n v="60"/>
    <n v="720"/>
    <n v="144"/>
  </r>
  <r>
    <x v="79"/>
    <x v="3"/>
    <x v="3"/>
    <x v="3"/>
    <n v="3"/>
    <n v="300"/>
    <n v="900"/>
    <n v="180"/>
  </r>
  <r>
    <x v="80"/>
    <x v="0"/>
    <x v="0"/>
    <x v="0"/>
    <n v="5"/>
    <n v="50000"/>
    <n v="250000"/>
    <n v="50000"/>
  </r>
  <r>
    <x v="81"/>
    <x v="1"/>
    <x v="1"/>
    <x v="1"/>
    <n v="8"/>
    <n v="800"/>
    <n v="6400"/>
    <n v="1280"/>
  </r>
  <r>
    <x v="82"/>
    <x v="2"/>
    <x v="2"/>
    <x v="2"/>
    <n v="12"/>
    <n v="60"/>
    <n v="720"/>
    <n v="144"/>
  </r>
  <r>
    <x v="83"/>
    <x v="3"/>
    <x v="3"/>
    <x v="3"/>
    <n v="3"/>
    <n v="300"/>
    <n v="900"/>
    <n v="180"/>
  </r>
  <r>
    <x v="84"/>
    <x v="0"/>
    <x v="0"/>
    <x v="0"/>
    <n v="5"/>
    <n v="50000"/>
    <n v="250000"/>
    <n v="50000"/>
  </r>
  <r>
    <x v="85"/>
    <x v="1"/>
    <x v="1"/>
    <x v="1"/>
    <n v="8"/>
    <n v="800"/>
    <n v="6400"/>
    <n v="1280"/>
  </r>
  <r>
    <x v="86"/>
    <x v="2"/>
    <x v="2"/>
    <x v="2"/>
    <n v="12"/>
    <n v="60"/>
    <n v="720"/>
    <n v="144"/>
  </r>
  <r>
    <x v="87"/>
    <x v="3"/>
    <x v="3"/>
    <x v="3"/>
    <n v="3"/>
    <n v="300"/>
    <n v="900"/>
    <n v="180"/>
  </r>
  <r>
    <x v="88"/>
    <x v="0"/>
    <x v="0"/>
    <x v="0"/>
    <n v="5"/>
    <n v="50000"/>
    <n v="250000"/>
    <n v="50000"/>
  </r>
  <r>
    <x v="89"/>
    <x v="1"/>
    <x v="1"/>
    <x v="1"/>
    <n v="8"/>
    <n v="800"/>
    <n v="6400"/>
    <n v="1280"/>
  </r>
  <r>
    <x v="90"/>
    <x v="2"/>
    <x v="2"/>
    <x v="2"/>
    <n v="12"/>
    <n v="60"/>
    <n v="720"/>
    <n v="144"/>
  </r>
  <r>
    <x v="91"/>
    <x v="3"/>
    <x v="3"/>
    <x v="3"/>
    <n v="3"/>
    <n v="300"/>
    <n v="900"/>
    <n v="180"/>
  </r>
  <r>
    <x v="92"/>
    <x v="0"/>
    <x v="0"/>
    <x v="0"/>
    <n v="5"/>
    <n v="50000"/>
    <n v="250000"/>
    <n v="50000"/>
  </r>
  <r>
    <x v="93"/>
    <x v="1"/>
    <x v="1"/>
    <x v="1"/>
    <n v="8"/>
    <n v="800"/>
    <n v="6400"/>
    <n v="1280"/>
  </r>
  <r>
    <x v="94"/>
    <x v="2"/>
    <x v="2"/>
    <x v="2"/>
    <n v="12"/>
    <n v="60"/>
    <n v="720"/>
    <n v="144"/>
  </r>
  <r>
    <x v="95"/>
    <x v="3"/>
    <x v="3"/>
    <x v="3"/>
    <n v="3"/>
    <n v="300"/>
    <n v="900"/>
    <n v="180"/>
  </r>
  <r>
    <x v="96"/>
    <x v="0"/>
    <x v="0"/>
    <x v="0"/>
    <n v="5"/>
    <n v="50000"/>
    <n v="250000"/>
    <n v="50000"/>
  </r>
  <r>
    <x v="97"/>
    <x v="1"/>
    <x v="1"/>
    <x v="1"/>
    <n v="8"/>
    <n v="800"/>
    <n v="6400"/>
    <n v="1280"/>
  </r>
  <r>
    <x v="98"/>
    <x v="2"/>
    <x v="2"/>
    <x v="2"/>
    <n v="12"/>
    <n v="60"/>
    <n v="720"/>
    <n v="144"/>
  </r>
  <r>
    <x v="99"/>
    <x v="3"/>
    <x v="3"/>
    <x v="3"/>
    <n v="3"/>
    <n v="300"/>
    <n v="900"/>
    <n v="180"/>
  </r>
  <r>
    <x v="100"/>
    <x v="0"/>
    <x v="0"/>
    <x v="0"/>
    <n v="5"/>
    <n v="50000"/>
    <n v="250000"/>
    <n v="50000"/>
  </r>
  <r>
    <x v="101"/>
    <x v="1"/>
    <x v="1"/>
    <x v="1"/>
    <n v="8"/>
    <n v="800"/>
    <n v="6400"/>
    <n v="1280"/>
  </r>
  <r>
    <x v="102"/>
    <x v="2"/>
    <x v="2"/>
    <x v="2"/>
    <n v="12"/>
    <n v="60"/>
    <n v="720"/>
    <n v="144"/>
  </r>
  <r>
    <x v="103"/>
    <x v="3"/>
    <x v="3"/>
    <x v="3"/>
    <n v="3"/>
    <n v="300"/>
    <n v="900"/>
    <n v="180"/>
  </r>
  <r>
    <x v="104"/>
    <x v="0"/>
    <x v="0"/>
    <x v="0"/>
    <n v="5"/>
    <n v="50000"/>
    <n v="250000"/>
    <n v="50000"/>
  </r>
  <r>
    <x v="105"/>
    <x v="1"/>
    <x v="1"/>
    <x v="1"/>
    <n v="8"/>
    <n v="800"/>
    <n v="6400"/>
    <n v="1280"/>
  </r>
  <r>
    <x v="106"/>
    <x v="2"/>
    <x v="2"/>
    <x v="2"/>
    <n v="12"/>
    <n v="60"/>
    <n v="720"/>
    <n v="144"/>
  </r>
  <r>
    <x v="107"/>
    <x v="3"/>
    <x v="3"/>
    <x v="3"/>
    <n v="3"/>
    <n v="300"/>
    <n v="900"/>
    <n v="180"/>
  </r>
  <r>
    <x v="108"/>
    <x v="0"/>
    <x v="0"/>
    <x v="0"/>
    <n v="5"/>
    <n v="50000"/>
    <n v="250000"/>
    <n v="50000"/>
  </r>
  <r>
    <x v="109"/>
    <x v="1"/>
    <x v="1"/>
    <x v="1"/>
    <n v="8"/>
    <n v="800"/>
    <n v="6400"/>
    <n v="1280"/>
  </r>
  <r>
    <x v="110"/>
    <x v="2"/>
    <x v="2"/>
    <x v="2"/>
    <n v="12"/>
    <n v="60"/>
    <n v="720"/>
    <n v="144"/>
  </r>
  <r>
    <x v="111"/>
    <x v="3"/>
    <x v="3"/>
    <x v="3"/>
    <n v="3"/>
    <n v="300"/>
    <n v="900"/>
    <n v="180"/>
  </r>
  <r>
    <x v="112"/>
    <x v="0"/>
    <x v="0"/>
    <x v="0"/>
    <n v="5"/>
    <n v="50000"/>
    <n v="250000"/>
    <n v="50000"/>
  </r>
  <r>
    <x v="113"/>
    <x v="1"/>
    <x v="1"/>
    <x v="1"/>
    <n v="8"/>
    <n v="800"/>
    <n v="6400"/>
    <n v="1280"/>
  </r>
  <r>
    <x v="114"/>
    <x v="2"/>
    <x v="2"/>
    <x v="2"/>
    <n v="12"/>
    <n v="60"/>
    <n v="720"/>
    <n v="144"/>
  </r>
  <r>
    <x v="115"/>
    <x v="3"/>
    <x v="3"/>
    <x v="3"/>
    <n v="3"/>
    <n v="300"/>
    <n v="900"/>
    <n v="180"/>
  </r>
  <r>
    <x v="116"/>
    <x v="0"/>
    <x v="0"/>
    <x v="0"/>
    <n v="5"/>
    <n v="50000"/>
    <n v="250000"/>
    <n v="50000"/>
  </r>
  <r>
    <x v="117"/>
    <x v="1"/>
    <x v="1"/>
    <x v="1"/>
    <n v="8"/>
    <n v="800"/>
    <n v="6400"/>
    <n v="1280"/>
  </r>
  <r>
    <x v="118"/>
    <x v="2"/>
    <x v="2"/>
    <x v="2"/>
    <n v="12"/>
    <n v="60"/>
    <n v="720"/>
    <n v="144"/>
  </r>
  <r>
    <x v="119"/>
    <x v="3"/>
    <x v="3"/>
    <x v="3"/>
    <n v="3"/>
    <n v="300"/>
    <n v="900"/>
    <n v="180"/>
  </r>
  <r>
    <x v="120"/>
    <x v="0"/>
    <x v="0"/>
    <x v="0"/>
    <n v="5"/>
    <n v="50000"/>
    <n v="250000"/>
    <n v="50000"/>
  </r>
  <r>
    <x v="121"/>
    <x v="1"/>
    <x v="1"/>
    <x v="1"/>
    <n v="8"/>
    <n v="800"/>
    <n v="6400"/>
    <n v="1280"/>
  </r>
  <r>
    <x v="122"/>
    <x v="2"/>
    <x v="2"/>
    <x v="2"/>
    <n v="12"/>
    <n v="60"/>
    <n v="720"/>
    <n v="144"/>
  </r>
  <r>
    <x v="123"/>
    <x v="3"/>
    <x v="3"/>
    <x v="3"/>
    <n v="3"/>
    <n v="300"/>
    <n v="900"/>
    <n v="180"/>
  </r>
  <r>
    <x v="124"/>
    <x v="0"/>
    <x v="0"/>
    <x v="0"/>
    <n v="5"/>
    <n v="50000"/>
    <n v="250000"/>
    <n v="50000"/>
  </r>
  <r>
    <x v="125"/>
    <x v="1"/>
    <x v="1"/>
    <x v="1"/>
    <n v="8"/>
    <n v="800"/>
    <n v="6400"/>
    <n v="1280"/>
  </r>
  <r>
    <x v="126"/>
    <x v="2"/>
    <x v="2"/>
    <x v="2"/>
    <n v="12"/>
    <n v="60"/>
    <n v="720"/>
    <n v="144"/>
  </r>
  <r>
    <x v="127"/>
    <x v="3"/>
    <x v="3"/>
    <x v="3"/>
    <n v="3"/>
    <n v="300"/>
    <n v="900"/>
    <n v="180"/>
  </r>
  <r>
    <x v="128"/>
    <x v="0"/>
    <x v="0"/>
    <x v="0"/>
    <n v="5"/>
    <n v="50000"/>
    <n v="250000"/>
    <n v="50000"/>
  </r>
  <r>
    <x v="129"/>
    <x v="1"/>
    <x v="1"/>
    <x v="1"/>
    <n v="8"/>
    <n v="800"/>
    <n v="6400"/>
    <n v="1280"/>
  </r>
  <r>
    <x v="130"/>
    <x v="2"/>
    <x v="2"/>
    <x v="2"/>
    <n v="12"/>
    <n v="60"/>
    <n v="720"/>
    <n v="144"/>
  </r>
  <r>
    <x v="131"/>
    <x v="3"/>
    <x v="3"/>
    <x v="3"/>
    <n v="3"/>
    <n v="300"/>
    <n v="900"/>
    <n v="180"/>
  </r>
  <r>
    <x v="132"/>
    <x v="0"/>
    <x v="0"/>
    <x v="0"/>
    <n v="5"/>
    <n v="50000"/>
    <n v="250000"/>
    <n v="50000"/>
  </r>
  <r>
    <x v="133"/>
    <x v="1"/>
    <x v="1"/>
    <x v="1"/>
    <n v="8"/>
    <n v="800"/>
    <n v="6400"/>
    <n v="1280"/>
  </r>
  <r>
    <x v="134"/>
    <x v="2"/>
    <x v="2"/>
    <x v="2"/>
    <n v="12"/>
    <n v="60"/>
    <n v="720"/>
    <n v="144"/>
  </r>
  <r>
    <x v="135"/>
    <x v="3"/>
    <x v="3"/>
    <x v="3"/>
    <n v="3"/>
    <n v="300"/>
    <n v="900"/>
    <n v="180"/>
  </r>
  <r>
    <x v="136"/>
    <x v="0"/>
    <x v="0"/>
    <x v="0"/>
    <n v="5"/>
    <n v="50000"/>
    <n v="250000"/>
    <n v="50000"/>
  </r>
  <r>
    <x v="137"/>
    <x v="1"/>
    <x v="1"/>
    <x v="1"/>
    <n v="8"/>
    <n v="800"/>
    <n v="6400"/>
    <n v="1280"/>
  </r>
  <r>
    <x v="138"/>
    <x v="2"/>
    <x v="2"/>
    <x v="2"/>
    <n v="12"/>
    <n v="60"/>
    <n v="720"/>
    <n v="144"/>
  </r>
  <r>
    <x v="139"/>
    <x v="3"/>
    <x v="3"/>
    <x v="3"/>
    <n v="3"/>
    <n v="300"/>
    <n v="900"/>
    <n v="180"/>
  </r>
  <r>
    <x v="140"/>
    <x v="0"/>
    <x v="0"/>
    <x v="0"/>
    <n v="5"/>
    <n v="50000"/>
    <n v="250000"/>
    <n v="50000"/>
  </r>
  <r>
    <x v="141"/>
    <x v="1"/>
    <x v="1"/>
    <x v="1"/>
    <n v="8"/>
    <n v="800"/>
    <n v="6400"/>
    <n v="1280"/>
  </r>
  <r>
    <x v="142"/>
    <x v="2"/>
    <x v="2"/>
    <x v="2"/>
    <n v="12"/>
    <n v="60"/>
    <n v="720"/>
    <n v="144"/>
  </r>
  <r>
    <x v="143"/>
    <x v="3"/>
    <x v="3"/>
    <x v="3"/>
    <n v="3"/>
    <n v="300"/>
    <n v="900"/>
    <n v="180"/>
  </r>
  <r>
    <x v="144"/>
    <x v="0"/>
    <x v="0"/>
    <x v="0"/>
    <n v="5"/>
    <n v="50000"/>
    <n v="250000"/>
    <n v="50000"/>
  </r>
  <r>
    <x v="145"/>
    <x v="1"/>
    <x v="1"/>
    <x v="1"/>
    <n v="8"/>
    <n v="800"/>
    <n v="6400"/>
    <n v="1280"/>
  </r>
  <r>
    <x v="146"/>
    <x v="2"/>
    <x v="2"/>
    <x v="2"/>
    <n v="12"/>
    <n v="60"/>
    <n v="720"/>
    <n v="144"/>
  </r>
  <r>
    <x v="147"/>
    <x v="3"/>
    <x v="3"/>
    <x v="3"/>
    <n v="3"/>
    <n v="300"/>
    <n v="900"/>
    <n v="180"/>
  </r>
  <r>
    <x v="148"/>
    <x v="0"/>
    <x v="0"/>
    <x v="0"/>
    <n v="5"/>
    <n v="50000"/>
    <n v="250000"/>
    <n v="50000"/>
  </r>
  <r>
    <x v="149"/>
    <x v="1"/>
    <x v="1"/>
    <x v="1"/>
    <n v="8"/>
    <n v="800"/>
    <n v="6400"/>
    <n v="1280"/>
  </r>
  <r>
    <x v="150"/>
    <x v="2"/>
    <x v="2"/>
    <x v="2"/>
    <n v="12"/>
    <n v="60"/>
    <n v="720"/>
    <n v="144"/>
  </r>
  <r>
    <x v="151"/>
    <x v="3"/>
    <x v="3"/>
    <x v="3"/>
    <n v="3"/>
    <n v="300"/>
    <n v="900"/>
    <n v="180"/>
  </r>
  <r>
    <x v="152"/>
    <x v="0"/>
    <x v="0"/>
    <x v="0"/>
    <n v="5"/>
    <n v="50000"/>
    <n v="250000"/>
    <n v="50000"/>
  </r>
  <r>
    <x v="153"/>
    <x v="1"/>
    <x v="1"/>
    <x v="1"/>
    <n v="8"/>
    <n v="800"/>
    <n v="6400"/>
    <n v="1280"/>
  </r>
  <r>
    <x v="154"/>
    <x v="2"/>
    <x v="2"/>
    <x v="2"/>
    <n v="12"/>
    <n v="60"/>
    <n v="720"/>
    <n v="144"/>
  </r>
  <r>
    <x v="155"/>
    <x v="3"/>
    <x v="3"/>
    <x v="3"/>
    <n v="3"/>
    <n v="300"/>
    <n v="900"/>
    <n v="180"/>
  </r>
  <r>
    <x v="156"/>
    <x v="0"/>
    <x v="0"/>
    <x v="0"/>
    <n v="5"/>
    <n v="50000"/>
    <n v="250000"/>
    <n v="50000"/>
  </r>
  <r>
    <x v="157"/>
    <x v="1"/>
    <x v="1"/>
    <x v="1"/>
    <n v="8"/>
    <n v="800"/>
    <n v="6400"/>
    <n v="1280"/>
  </r>
  <r>
    <x v="158"/>
    <x v="2"/>
    <x v="2"/>
    <x v="2"/>
    <n v="12"/>
    <n v="60"/>
    <n v="720"/>
    <n v="144"/>
  </r>
  <r>
    <x v="159"/>
    <x v="3"/>
    <x v="3"/>
    <x v="3"/>
    <n v="3"/>
    <n v="300"/>
    <n v="900"/>
    <n v="180"/>
  </r>
  <r>
    <x v="160"/>
    <x v="0"/>
    <x v="0"/>
    <x v="0"/>
    <n v="5"/>
    <n v="50000"/>
    <n v="250000"/>
    <n v="50000"/>
  </r>
  <r>
    <x v="161"/>
    <x v="1"/>
    <x v="1"/>
    <x v="1"/>
    <n v="8"/>
    <n v="800"/>
    <n v="6400"/>
    <n v="1280"/>
  </r>
  <r>
    <x v="162"/>
    <x v="2"/>
    <x v="2"/>
    <x v="2"/>
    <n v="12"/>
    <n v="60"/>
    <n v="720"/>
    <n v="144"/>
  </r>
  <r>
    <x v="163"/>
    <x v="3"/>
    <x v="3"/>
    <x v="3"/>
    <n v="3"/>
    <n v="300"/>
    <n v="900"/>
    <n v="180"/>
  </r>
  <r>
    <x v="164"/>
    <x v="0"/>
    <x v="0"/>
    <x v="0"/>
    <n v="5"/>
    <n v="50000"/>
    <n v="250000"/>
    <n v="50000"/>
  </r>
  <r>
    <x v="165"/>
    <x v="1"/>
    <x v="1"/>
    <x v="1"/>
    <n v="8"/>
    <n v="800"/>
    <n v="6400"/>
    <n v="1280"/>
  </r>
  <r>
    <x v="166"/>
    <x v="2"/>
    <x v="2"/>
    <x v="2"/>
    <n v="12"/>
    <n v="60"/>
    <n v="720"/>
    <n v="144"/>
  </r>
  <r>
    <x v="167"/>
    <x v="3"/>
    <x v="3"/>
    <x v="3"/>
    <n v="3"/>
    <n v="300"/>
    <n v="900"/>
    <n v="180"/>
  </r>
  <r>
    <x v="168"/>
    <x v="0"/>
    <x v="0"/>
    <x v="0"/>
    <n v="5"/>
    <n v="50000"/>
    <n v="250000"/>
    <n v="50000"/>
  </r>
  <r>
    <x v="169"/>
    <x v="1"/>
    <x v="1"/>
    <x v="1"/>
    <n v="8"/>
    <n v="800"/>
    <n v="6400"/>
    <n v="1280"/>
  </r>
  <r>
    <x v="170"/>
    <x v="2"/>
    <x v="2"/>
    <x v="2"/>
    <n v="12"/>
    <n v="60"/>
    <n v="720"/>
    <n v="144"/>
  </r>
  <r>
    <x v="171"/>
    <x v="3"/>
    <x v="3"/>
    <x v="3"/>
    <n v="3"/>
    <n v="300"/>
    <n v="900"/>
    <n v="180"/>
  </r>
  <r>
    <x v="172"/>
    <x v="0"/>
    <x v="0"/>
    <x v="0"/>
    <n v="5"/>
    <n v="50000"/>
    <n v="250000"/>
    <n v="50000"/>
  </r>
  <r>
    <x v="173"/>
    <x v="1"/>
    <x v="1"/>
    <x v="1"/>
    <n v="8"/>
    <n v="800"/>
    <n v="6400"/>
    <n v="1280"/>
  </r>
  <r>
    <x v="174"/>
    <x v="2"/>
    <x v="2"/>
    <x v="2"/>
    <n v="12"/>
    <n v="60"/>
    <n v="720"/>
    <n v="144"/>
  </r>
  <r>
    <x v="175"/>
    <x v="3"/>
    <x v="3"/>
    <x v="3"/>
    <n v="3"/>
    <n v="300"/>
    <n v="900"/>
    <n v="180"/>
  </r>
  <r>
    <x v="176"/>
    <x v="0"/>
    <x v="0"/>
    <x v="0"/>
    <n v="5"/>
    <n v="50000"/>
    <n v="250000"/>
    <n v="50000"/>
  </r>
  <r>
    <x v="177"/>
    <x v="1"/>
    <x v="1"/>
    <x v="1"/>
    <n v="8"/>
    <n v="800"/>
    <n v="6400"/>
    <n v="1280"/>
  </r>
  <r>
    <x v="178"/>
    <x v="2"/>
    <x v="2"/>
    <x v="2"/>
    <n v="12"/>
    <n v="60"/>
    <n v="720"/>
    <n v="144"/>
  </r>
  <r>
    <x v="179"/>
    <x v="3"/>
    <x v="3"/>
    <x v="3"/>
    <n v="3"/>
    <n v="300"/>
    <n v="900"/>
    <n v="180"/>
  </r>
  <r>
    <x v="180"/>
    <x v="0"/>
    <x v="0"/>
    <x v="0"/>
    <n v="5"/>
    <n v="50000"/>
    <n v="250000"/>
    <n v="50000"/>
  </r>
  <r>
    <x v="181"/>
    <x v="1"/>
    <x v="1"/>
    <x v="1"/>
    <n v="8"/>
    <n v="800"/>
    <n v="6400"/>
    <n v="1280"/>
  </r>
  <r>
    <x v="182"/>
    <x v="2"/>
    <x v="2"/>
    <x v="2"/>
    <n v="12"/>
    <n v="60"/>
    <n v="720"/>
    <n v="144"/>
  </r>
  <r>
    <x v="183"/>
    <x v="3"/>
    <x v="3"/>
    <x v="3"/>
    <n v="3"/>
    <n v="300"/>
    <n v="900"/>
    <n v="180"/>
  </r>
  <r>
    <x v="184"/>
    <x v="0"/>
    <x v="0"/>
    <x v="0"/>
    <n v="5"/>
    <n v="50000"/>
    <n v="250000"/>
    <n v="50000"/>
  </r>
  <r>
    <x v="185"/>
    <x v="1"/>
    <x v="1"/>
    <x v="1"/>
    <n v="8"/>
    <n v="800"/>
    <n v="6400"/>
    <n v="1280"/>
  </r>
  <r>
    <x v="186"/>
    <x v="2"/>
    <x v="2"/>
    <x v="2"/>
    <n v="12"/>
    <n v="60"/>
    <n v="720"/>
    <n v="144"/>
  </r>
  <r>
    <x v="187"/>
    <x v="3"/>
    <x v="3"/>
    <x v="3"/>
    <n v="3"/>
    <n v="300"/>
    <n v="900"/>
    <n v="180"/>
  </r>
  <r>
    <x v="188"/>
    <x v="0"/>
    <x v="0"/>
    <x v="0"/>
    <n v="5"/>
    <n v="50000"/>
    <n v="250000"/>
    <n v="50000"/>
  </r>
  <r>
    <x v="189"/>
    <x v="1"/>
    <x v="1"/>
    <x v="1"/>
    <n v="8"/>
    <n v="800"/>
    <n v="6400"/>
    <n v="1280"/>
  </r>
  <r>
    <x v="190"/>
    <x v="2"/>
    <x v="2"/>
    <x v="2"/>
    <n v="12"/>
    <n v="60"/>
    <n v="720"/>
    <n v="144"/>
  </r>
  <r>
    <x v="191"/>
    <x v="3"/>
    <x v="3"/>
    <x v="3"/>
    <n v="3"/>
    <n v="300"/>
    <n v="900"/>
    <n v="180"/>
  </r>
  <r>
    <x v="192"/>
    <x v="0"/>
    <x v="0"/>
    <x v="0"/>
    <n v="5"/>
    <n v="50000"/>
    <n v="250000"/>
    <n v="50000"/>
  </r>
  <r>
    <x v="193"/>
    <x v="1"/>
    <x v="1"/>
    <x v="1"/>
    <n v="8"/>
    <n v="800"/>
    <n v="6400"/>
    <n v="1280"/>
  </r>
  <r>
    <x v="194"/>
    <x v="2"/>
    <x v="2"/>
    <x v="2"/>
    <n v="12"/>
    <n v="60"/>
    <n v="720"/>
    <n v="144"/>
  </r>
  <r>
    <x v="195"/>
    <x v="3"/>
    <x v="3"/>
    <x v="3"/>
    <n v="3"/>
    <n v="300"/>
    <n v="900"/>
    <n v="180"/>
  </r>
  <r>
    <x v="196"/>
    <x v="0"/>
    <x v="0"/>
    <x v="0"/>
    <n v="5"/>
    <n v="50000"/>
    <n v="250000"/>
    <n v="50000"/>
  </r>
  <r>
    <x v="197"/>
    <x v="1"/>
    <x v="1"/>
    <x v="1"/>
    <n v="8"/>
    <n v="800"/>
    <n v="6400"/>
    <n v="1280"/>
  </r>
  <r>
    <x v="198"/>
    <x v="2"/>
    <x v="2"/>
    <x v="2"/>
    <n v="12"/>
    <n v="60"/>
    <n v="720"/>
    <n v="144"/>
  </r>
  <r>
    <x v="199"/>
    <x v="3"/>
    <x v="3"/>
    <x v="3"/>
    <n v="3"/>
    <n v="300"/>
    <n v="900"/>
    <n v="180"/>
  </r>
  <r>
    <x v="200"/>
    <x v="4"/>
    <x v="4"/>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CC9DF-4374-4C7B-9295-35E78410DCB5}"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pivotFields count="10">
    <pivotField numFmtId="14" showAll="0">
      <items count="201">
        <item x="50"/>
        <item x="150"/>
        <item x="100"/>
        <item x="0"/>
        <item x="51"/>
        <item x="151"/>
        <item x="101"/>
        <item x="1"/>
        <item x="52"/>
        <item x="152"/>
        <item x="102"/>
        <item x="2"/>
        <item x="53"/>
        <item x="153"/>
        <item x="103"/>
        <item x="3"/>
        <item x="54"/>
        <item x="154"/>
        <item x="104"/>
        <item x="4"/>
        <item x="55"/>
        <item x="155"/>
        <item x="105"/>
        <item x="5"/>
        <item x="56"/>
        <item x="156"/>
        <item x="106"/>
        <item x="6"/>
        <item x="57"/>
        <item x="157"/>
        <item x="107"/>
        <item x="7"/>
        <item x="58"/>
        <item x="158"/>
        <item x="108"/>
        <item x="8"/>
        <item x="59"/>
        <item x="159"/>
        <item x="109"/>
        <item x="9"/>
        <item x="60"/>
        <item x="160"/>
        <item x="110"/>
        <item x="10"/>
        <item x="61"/>
        <item x="161"/>
        <item x="111"/>
        <item x="11"/>
        <item x="62"/>
        <item x="162"/>
        <item x="112"/>
        <item x="12"/>
        <item x="63"/>
        <item x="163"/>
        <item x="113"/>
        <item x="13"/>
        <item x="64"/>
        <item x="164"/>
        <item x="114"/>
        <item x="14"/>
        <item x="65"/>
        <item x="165"/>
        <item x="115"/>
        <item x="15"/>
        <item x="66"/>
        <item x="166"/>
        <item x="116"/>
        <item x="16"/>
        <item x="67"/>
        <item x="167"/>
        <item x="117"/>
        <item x="17"/>
        <item x="68"/>
        <item x="168"/>
        <item x="118"/>
        <item x="18"/>
        <item x="69"/>
        <item x="169"/>
        <item x="119"/>
        <item x="19"/>
        <item x="70"/>
        <item x="170"/>
        <item x="120"/>
        <item x="20"/>
        <item x="71"/>
        <item x="171"/>
        <item x="121"/>
        <item x="21"/>
        <item x="72"/>
        <item x="172"/>
        <item x="122"/>
        <item x="22"/>
        <item x="73"/>
        <item x="173"/>
        <item x="123"/>
        <item x="23"/>
        <item x="74"/>
        <item x="174"/>
        <item x="124"/>
        <item x="24"/>
        <item x="75"/>
        <item x="175"/>
        <item x="125"/>
        <item x="25"/>
        <item x="76"/>
        <item x="176"/>
        <item x="126"/>
        <item x="26"/>
        <item x="77"/>
        <item x="177"/>
        <item x="127"/>
        <item x="27"/>
        <item x="78"/>
        <item x="178"/>
        <item x="128"/>
        <item x="28"/>
        <item x="79"/>
        <item x="179"/>
        <item x="129"/>
        <item x="29"/>
        <item x="80"/>
        <item x="180"/>
        <item x="130"/>
        <item x="30"/>
        <item x="81"/>
        <item x="181"/>
        <item x="131"/>
        <item x="31"/>
        <item x="82"/>
        <item x="182"/>
        <item x="132"/>
        <item x="32"/>
        <item x="83"/>
        <item x="183"/>
        <item x="133"/>
        <item x="33"/>
        <item x="84"/>
        <item x="184"/>
        <item x="134"/>
        <item x="34"/>
        <item x="85"/>
        <item x="185"/>
        <item x="135"/>
        <item x="35"/>
        <item x="86"/>
        <item x="186"/>
        <item x="136"/>
        <item x="36"/>
        <item x="87"/>
        <item x="187"/>
        <item x="137"/>
        <item x="37"/>
        <item x="88"/>
        <item x="188"/>
        <item x="138"/>
        <item x="38"/>
        <item x="89"/>
        <item x="189"/>
        <item x="139"/>
        <item x="39"/>
        <item x="90"/>
        <item x="190"/>
        <item x="140"/>
        <item x="40"/>
        <item x="91"/>
        <item x="191"/>
        <item x="141"/>
        <item x="41"/>
        <item x="92"/>
        <item x="192"/>
        <item x="142"/>
        <item x="42"/>
        <item x="93"/>
        <item x="193"/>
        <item x="143"/>
        <item x="43"/>
        <item x="94"/>
        <item x="194"/>
        <item x="144"/>
        <item x="44"/>
        <item x="95"/>
        <item x="195"/>
        <item x="145"/>
        <item x="45"/>
        <item x="96"/>
        <item x="196"/>
        <item x="146"/>
        <item x="46"/>
        <item x="97"/>
        <item x="197"/>
        <item x="147"/>
        <item x="47"/>
        <item x="98"/>
        <item x="198"/>
        <item x="148"/>
        <item x="48"/>
        <item x="99"/>
        <item x="199"/>
        <item x="149"/>
        <item x="49"/>
        <item t="default"/>
      </items>
    </pivotField>
    <pivotField showAll="0"/>
    <pivotField axis="axisRow" showAll="0">
      <items count="5">
        <item x="3"/>
        <item x="1"/>
        <item x="2"/>
        <item x="0"/>
        <item t="default"/>
      </items>
    </pivotField>
    <pivotField showAll="0"/>
    <pivotField dataField="1"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Units_Sold" fld="4" baseField="0" baseItem="0"/>
  </dataFields>
  <formats count="4">
    <format dxfId="7">
      <pivotArea field="2" type="button" dataOnly="0" labelOnly="1" outline="0" axis="axisRow" fieldPosition="0"/>
    </format>
    <format dxfId="6">
      <pivotArea dataOnly="0" labelOnly="1" outline="0" axis="axisValues" fieldPosition="0"/>
    </format>
    <format dxfId="5">
      <pivotArea grandRow="1" outline="0" collapsedLevelsAreSubtotals="1" fieldPosition="0"/>
    </format>
    <format dxfId="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989EF4-26EB-4F0A-972E-CA916463F8E8}"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pivotFields count="10">
    <pivotField numFmtId="14" showAll="0">
      <items count="201">
        <item x="50"/>
        <item x="150"/>
        <item x="100"/>
        <item x="0"/>
        <item x="51"/>
        <item x="151"/>
        <item x="101"/>
        <item x="1"/>
        <item x="52"/>
        <item x="152"/>
        <item x="102"/>
        <item x="2"/>
        <item x="53"/>
        <item x="153"/>
        <item x="103"/>
        <item x="3"/>
        <item x="54"/>
        <item x="154"/>
        <item x="104"/>
        <item x="4"/>
        <item x="55"/>
        <item x="155"/>
        <item x="105"/>
        <item x="5"/>
        <item x="56"/>
        <item x="156"/>
        <item x="106"/>
        <item x="6"/>
        <item x="57"/>
        <item x="157"/>
        <item x="107"/>
        <item x="7"/>
        <item x="58"/>
        <item x="158"/>
        <item x="108"/>
        <item x="8"/>
        <item x="59"/>
        <item x="159"/>
        <item x="109"/>
        <item x="9"/>
        <item x="60"/>
        <item x="160"/>
        <item x="110"/>
        <item x="10"/>
        <item x="61"/>
        <item x="161"/>
        <item x="111"/>
        <item x="11"/>
        <item x="62"/>
        <item x="162"/>
        <item x="112"/>
        <item x="12"/>
        <item x="63"/>
        <item x="163"/>
        <item x="113"/>
        <item x="13"/>
        <item x="64"/>
        <item x="164"/>
        <item x="114"/>
        <item x="14"/>
        <item x="65"/>
        <item x="165"/>
        <item x="115"/>
        <item x="15"/>
        <item x="66"/>
        <item x="166"/>
        <item x="116"/>
        <item x="16"/>
        <item x="67"/>
        <item x="167"/>
        <item x="117"/>
        <item x="17"/>
        <item x="68"/>
        <item x="168"/>
        <item x="118"/>
        <item x="18"/>
        <item x="69"/>
        <item x="169"/>
        <item x="119"/>
        <item x="19"/>
        <item x="70"/>
        <item x="170"/>
        <item x="120"/>
        <item x="20"/>
        <item x="71"/>
        <item x="171"/>
        <item x="121"/>
        <item x="21"/>
        <item x="72"/>
        <item x="172"/>
        <item x="122"/>
        <item x="22"/>
        <item x="73"/>
        <item x="173"/>
        <item x="123"/>
        <item x="23"/>
        <item x="74"/>
        <item x="174"/>
        <item x="124"/>
        <item x="24"/>
        <item x="75"/>
        <item x="175"/>
        <item x="125"/>
        <item x="25"/>
        <item x="76"/>
        <item x="176"/>
        <item x="126"/>
        <item x="26"/>
        <item x="77"/>
        <item x="177"/>
        <item x="127"/>
        <item x="27"/>
        <item x="78"/>
        <item x="178"/>
        <item x="128"/>
        <item x="28"/>
        <item x="79"/>
        <item x="179"/>
        <item x="129"/>
        <item x="29"/>
        <item x="80"/>
        <item x="180"/>
        <item x="130"/>
        <item x="30"/>
        <item x="81"/>
        <item x="181"/>
        <item x="131"/>
        <item x="31"/>
        <item x="82"/>
        <item x="182"/>
        <item x="132"/>
        <item x="32"/>
        <item x="83"/>
        <item x="183"/>
        <item x="133"/>
        <item x="33"/>
        <item x="84"/>
        <item x="184"/>
        <item x="134"/>
        <item x="34"/>
        <item x="85"/>
        <item x="185"/>
        <item x="135"/>
        <item x="35"/>
        <item x="86"/>
        <item x="186"/>
        <item x="136"/>
        <item x="36"/>
        <item x="87"/>
        <item x="187"/>
        <item x="137"/>
        <item x="37"/>
        <item x="88"/>
        <item x="188"/>
        <item x="138"/>
        <item x="38"/>
        <item x="89"/>
        <item x="189"/>
        <item x="139"/>
        <item x="39"/>
        <item x="90"/>
        <item x="190"/>
        <item x="140"/>
        <item x="40"/>
        <item x="91"/>
        <item x="191"/>
        <item x="141"/>
        <item x="41"/>
        <item x="92"/>
        <item x="192"/>
        <item x="142"/>
        <item x="42"/>
        <item x="93"/>
        <item x="193"/>
        <item x="143"/>
        <item x="43"/>
        <item x="94"/>
        <item x="194"/>
        <item x="144"/>
        <item x="44"/>
        <item x="95"/>
        <item x="195"/>
        <item x="145"/>
        <item x="45"/>
        <item x="96"/>
        <item x="196"/>
        <item x="146"/>
        <item x="46"/>
        <item x="97"/>
        <item x="197"/>
        <item x="147"/>
        <item x="47"/>
        <item x="98"/>
        <item x="198"/>
        <item x="148"/>
        <item x="48"/>
        <item x="99"/>
        <item x="199"/>
        <item x="149"/>
        <item x="49"/>
        <item t="default"/>
      </items>
    </pivotField>
    <pivotField showAll="0"/>
    <pivotField showAll="0"/>
    <pivotField axis="axisRow" showAll="0">
      <items count="5">
        <item x="0"/>
        <item x="1"/>
        <item x="2"/>
        <item x="3"/>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Total_Sales" fld="6" baseField="0" baseItem="0"/>
  </dataFields>
  <formats count="4">
    <format dxfId="11">
      <pivotArea field="3" type="button" dataOnly="0" labelOnly="1" outline="0" axis="axisRow" fieldPosition="0"/>
    </format>
    <format dxfId="10">
      <pivotArea dataOnly="0" labelOnly="1" outline="0" axis="axisValues" fieldPosition="0"/>
    </format>
    <format dxfId="9">
      <pivotArea grandRow="1" outline="0" collapsedLevelsAreSubtotals="1" fieldPosition="0"/>
    </format>
    <format dxfId="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324B6-573A-4158-B24A-86E13287BC59}"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8" firstHeaderRow="1" firstDataRow="1" firstDataCol="1"/>
  <pivotFields count="10">
    <pivotField numFmtId="14" showAll="0">
      <items count="201">
        <item x="50"/>
        <item x="150"/>
        <item x="100"/>
        <item x="0"/>
        <item x="51"/>
        <item x="151"/>
        <item x="101"/>
        <item x="1"/>
        <item x="52"/>
        <item x="152"/>
        <item x="102"/>
        <item x="2"/>
        <item x="53"/>
        <item x="153"/>
        <item x="103"/>
        <item x="3"/>
        <item x="54"/>
        <item x="154"/>
        <item x="104"/>
        <item x="4"/>
        <item x="55"/>
        <item x="155"/>
        <item x="105"/>
        <item x="5"/>
        <item x="56"/>
        <item x="156"/>
        <item x="106"/>
        <item x="6"/>
        <item x="57"/>
        <item x="157"/>
        <item x="107"/>
        <item x="7"/>
        <item x="58"/>
        <item x="158"/>
        <item x="108"/>
        <item x="8"/>
        <item x="59"/>
        <item x="159"/>
        <item x="109"/>
        <item x="9"/>
        <item x="60"/>
        <item x="160"/>
        <item x="110"/>
        <item x="10"/>
        <item x="61"/>
        <item x="161"/>
        <item x="111"/>
        <item x="11"/>
        <item x="62"/>
        <item x="162"/>
        <item x="112"/>
        <item x="12"/>
        <item x="63"/>
        <item x="163"/>
        <item x="113"/>
        <item x="13"/>
        <item x="64"/>
        <item x="164"/>
        <item x="114"/>
        <item x="14"/>
        <item x="65"/>
        <item x="165"/>
        <item x="115"/>
        <item x="15"/>
        <item x="66"/>
        <item x="166"/>
        <item x="116"/>
        <item x="16"/>
        <item x="67"/>
        <item x="167"/>
        <item x="117"/>
        <item x="17"/>
        <item x="68"/>
        <item x="168"/>
        <item x="118"/>
        <item x="18"/>
        <item x="69"/>
        <item x="169"/>
        <item x="119"/>
        <item x="19"/>
        <item x="70"/>
        <item x="170"/>
        <item x="120"/>
        <item x="20"/>
        <item x="71"/>
        <item x="171"/>
        <item x="121"/>
        <item x="21"/>
        <item x="72"/>
        <item x="172"/>
        <item x="122"/>
        <item x="22"/>
        <item x="73"/>
        <item x="173"/>
        <item x="123"/>
        <item x="23"/>
        <item x="74"/>
        <item x="174"/>
        <item x="124"/>
        <item x="24"/>
        <item x="75"/>
        <item x="175"/>
        <item x="125"/>
        <item x="25"/>
        <item x="76"/>
        <item x="176"/>
        <item x="126"/>
        <item x="26"/>
        <item x="77"/>
        <item x="177"/>
        <item x="127"/>
        <item x="27"/>
        <item x="78"/>
        <item x="178"/>
        <item x="128"/>
        <item x="28"/>
        <item x="79"/>
        <item x="179"/>
        <item x="129"/>
        <item x="29"/>
        <item x="80"/>
        <item x="180"/>
        <item x="130"/>
        <item x="30"/>
        <item x="81"/>
        <item x="181"/>
        <item x="131"/>
        <item x="31"/>
        <item x="82"/>
        <item x="182"/>
        <item x="132"/>
        <item x="32"/>
        <item x="83"/>
        <item x="183"/>
        <item x="133"/>
        <item x="33"/>
        <item x="84"/>
        <item x="184"/>
        <item x="134"/>
        <item x="34"/>
        <item x="85"/>
        <item x="185"/>
        <item x="135"/>
        <item x="35"/>
        <item x="86"/>
        <item x="186"/>
        <item x="136"/>
        <item x="36"/>
        <item x="87"/>
        <item x="187"/>
        <item x="137"/>
        <item x="37"/>
        <item x="88"/>
        <item x="188"/>
        <item x="138"/>
        <item x="38"/>
        <item x="89"/>
        <item x="189"/>
        <item x="139"/>
        <item x="39"/>
        <item x="90"/>
        <item x="190"/>
        <item x="140"/>
        <item x="40"/>
        <item x="91"/>
        <item x="191"/>
        <item x="141"/>
        <item x="41"/>
        <item x="92"/>
        <item x="192"/>
        <item x="142"/>
        <item x="42"/>
        <item x="93"/>
        <item x="193"/>
        <item x="143"/>
        <item x="43"/>
        <item x="94"/>
        <item x="194"/>
        <item x="144"/>
        <item x="44"/>
        <item x="95"/>
        <item x="195"/>
        <item x="145"/>
        <item x="45"/>
        <item x="96"/>
        <item x="196"/>
        <item x="146"/>
        <item x="46"/>
        <item x="97"/>
        <item x="197"/>
        <item x="147"/>
        <item x="47"/>
        <item x="98"/>
        <item x="198"/>
        <item x="148"/>
        <item x="48"/>
        <item x="99"/>
        <item x="199"/>
        <item x="149"/>
        <item x="49"/>
        <item t="default"/>
      </items>
    </pivotField>
    <pivotField axis="axisRow" showAll="0">
      <items count="5">
        <item x="2"/>
        <item x="1"/>
        <item x="3"/>
        <item x="0"/>
        <item t="default"/>
      </items>
    </pivotField>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Total_Sales" fld="6" baseField="0" baseItem="0"/>
  </dataFields>
  <formats count="4">
    <format dxfId="15">
      <pivotArea field="1"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EF93DB-E2D8-427C-A7BF-335C100E4FA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8" firstHeaderRow="1" firstDataRow="1" firstDataCol="1"/>
  <pivotFields count="10">
    <pivotField numFmtId="14" showAll="0">
      <items count="201">
        <item x="50"/>
        <item x="150"/>
        <item x="100"/>
        <item x="0"/>
        <item x="51"/>
        <item x="151"/>
        <item x="101"/>
        <item x="1"/>
        <item x="52"/>
        <item x="152"/>
        <item x="102"/>
        <item x="2"/>
        <item x="53"/>
        <item x="153"/>
        <item x="103"/>
        <item x="3"/>
        <item x="54"/>
        <item x="154"/>
        <item x="104"/>
        <item x="4"/>
        <item x="55"/>
        <item x="155"/>
        <item x="105"/>
        <item x="5"/>
        <item x="56"/>
        <item x="156"/>
        <item x="106"/>
        <item x="6"/>
        <item x="57"/>
        <item x="157"/>
        <item x="107"/>
        <item x="7"/>
        <item x="58"/>
        <item x="158"/>
        <item x="108"/>
        <item x="8"/>
        <item x="59"/>
        <item x="159"/>
        <item x="109"/>
        <item x="9"/>
        <item x="60"/>
        <item x="160"/>
        <item x="110"/>
        <item x="10"/>
        <item x="61"/>
        <item x="161"/>
        <item x="111"/>
        <item x="11"/>
        <item x="62"/>
        <item x="162"/>
        <item x="112"/>
        <item x="12"/>
        <item x="63"/>
        <item x="163"/>
        <item x="113"/>
        <item x="13"/>
        <item x="64"/>
        <item x="164"/>
        <item x="114"/>
        <item x="14"/>
        <item x="65"/>
        <item x="165"/>
        <item x="115"/>
        <item x="15"/>
        <item x="66"/>
        <item x="166"/>
        <item x="116"/>
        <item x="16"/>
        <item x="67"/>
        <item x="167"/>
        <item x="117"/>
        <item x="17"/>
        <item x="68"/>
        <item x="168"/>
        <item x="118"/>
        <item x="18"/>
        <item x="69"/>
        <item x="169"/>
        <item x="119"/>
        <item x="19"/>
        <item x="70"/>
        <item x="170"/>
        <item x="120"/>
        <item x="20"/>
        <item x="71"/>
        <item x="171"/>
        <item x="121"/>
        <item x="21"/>
        <item x="72"/>
        <item x="172"/>
        <item x="122"/>
        <item x="22"/>
        <item x="73"/>
        <item x="173"/>
        <item x="123"/>
        <item x="23"/>
        <item x="74"/>
        <item x="174"/>
        <item x="124"/>
        <item x="24"/>
        <item x="75"/>
        <item x="175"/>
        <item x="125"/>
        <item x="25"/>
        <item x="76"/>
        <item x="176"/>
        <item x="126"/>
        <item x="26"/>
        <item x="77"/>
        <item x="177"/>
        <item x="127"/>
        <item x="27"/>
        <item x="78"/>
        <item x="178"/>
        <item x="128"/>
        <item x="28"/>
        <item x="79"/>
        <item x="179"/>
        <item x="129"/>
        <item x="29"/>
        <item x="80"/>
        <item x="180"/>
        <item x="130"/>
        <item x="30"/>
        <item x="81"/>
        <item x="181"/>
        <item x="131"/>
        <item x="31"/>
        <item x="82"/>
        <item x="182"/>
        <item x="132"/>
        <item x="32"/>
        <item x="83"/>
        <item x="183"/>
        <item x="133"/>
        <item x="33"/>
        <item x="84"/>
        <item x="184"/>
        <item x="134"/>
        <item x="34"/>
        <item x="85"/>
        <item x="185"/>
        <item x="135"/>
        <item x="35"/>
        <item x="86"/>
        <item x="186"/>
        <item x="136"/>
        <item x="36"/>
        <item x="87"/>
        <item x="187"/>
        <item x="137"/>
        <item x="37"/>
        <item x="88"/>
        <item x="188"/>
        <item x="138"/>
        <item x="38"/>
        <item x="89"/>
        <item x="189"/>
        <item x="139"/>
        <item x="39"/>
        <item x="90"/>
        <item x="190"/>
        <item x="140"/>
        <item x="40"/>
        <item x="91"/>
        <item x="191"/>
        <item x="141"/>
        <item x="41"/>
        <item x="92"/>
        <item x="192"/>
        <item x="142"/>
        <item x="42"/>
        <item x="93"/>
        <item x="193"/>
        <item x="143"/>
        <item x="43"/>
        <item x="94"/>
        <item x="194"/>
        <item x="144"/>
        <item x="44"/>
        <item x="95"/>
        <item x="195"/>
        <item x="145"/>
        <item x="45"/>
        <item x="96"/>
        <item x="196"/>
        <item x="146"/>
        <item x="46"/>
        <item x="97"/>
        <item x="197"/>
        <item x="147"/>
        <item x="47"/>
        <item x="98"/>
        <item x="198"/>
        <item x="148"/>
        <item x="48"/>
        <item x="99"/>
        <item x="199"/>
        <item x="149"/>
        <item x="49"/>
        <item t="default"/>
      </items>
    </pivotField>
    <pivotField showAll="0"/>
    <pivotField axis="axisRow" showAll="0">
      <items count="5">
        <item x="3"/>
        <item x="1"/>
        <item x="2"/>
        <item x="0"/>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Total_Sales" fld="6" baseField="0" baseItem="0"/>
  </dataFields>
  <formats count="8">
    <format dxfId="19">
      <pivotArea field="2" type="button" dataOnly="0" labelOnly="1" outline="0" axis="axisRow" fieldPosition="0"/>
    </format>
    <format dxfId="18">
      <pivotArea dataOnly="0" labelOnly="1" outline="0" axis="axisValues" fieldPosition="0"/>
    </format>
    <format dxfId="17">
      <pivotArea grandRow="1" outline="0" collapsedLevelsAreSubtotals="1" fieldPosition="0"/>
    </format>
    <format dxfId="16">
      <pivotArea dataOnly="0" labelOnly="1" grandRow="1" outline="0" fieldPosition="0"/>
    </format>
    <format dxfId="3">
      <pivotArea field="2"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11">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2" count="1" selected="0">
            <x v="0"/>
          </reference>
        </references>
      </pivotArea>
    </chartFormat>
    <chartFormat chart="9" format="8">
      <pivotArea type="data" outline="0" fieldPosition="0">
        <references count="2">
          <reference field="4294967294" count="1" selected="0">
            <x v="0"/>
          </reference>
          <reference field="2" count="1" selected="0">
            <x v="1"/>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DE3056-B64C-4F40-938C-A7218882485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11" firstHeaderRow="1" firstDataRow="1" firstDataCol="1"/>
  <pivotFields count="10">
    <pivotField numFmtId="14" showAll="0">
      <items count="201">
        <item x="50"/>
        <item x="150"/>
        <item x="100"/>
        <item x="0"/>
        <item x="51"/>
        <item x="151"/>
        <item x="101"/>
        <item x="1"/>
        <item x="52"/>
        <item x="152"/>
        <item x="102"/>
        <item x="2"/>
        <item x="53"/>
        <item x="153"/>
        <item x="103"/>
        <item x="3"/>
        <item x="54"/>
        <item x="154"/>
        <item x="104"/>
        <item x="4"/>
        <item x="55"/>
        <item x="155"/>
        <item x="105"/>
        <item x="5"/>
        <item x="56"/>
        <item x="156"/>
        <item x="106"/>
        <item x="6"/>
        <item x="57"/>
        <item x="157"/>
        <item x="107"/>
        <item x="7"/>
        <item x="58"/>
        <item x="158"/>
        <item x="108"/>
        <item x="8"/>
        <item x="59"/>
        <item x="159"/>
        <item x="109"/>
        <item x="9"/>
        <item x="60"/>
        <item x="160"/>
        <item x="110"/>
        <item x="10"/>
        <item x="61"/>
        <item x="161"/>
        <item x="111"/>
        <item x="11"/>
        <item x="62"/>
        <item x="162"/>
        <item x="112"/>
        <item x="12"/>
        <item x="63"/>
        <item x="163"/>
        <item x="113"/>
        <item x="13"/>
        <item x="64"/>
        <item x="164"/>
        <item x="114"/>
        <item x="14"/>
        <item x="65"/>
        <item x="165"/>
        <item x="115"/>
        <item x="15"/>
        <item x="66"/>
        <item x="166"/>
        <item x="116"/>
        <item x="16"/>
        <item x="67"/>
        <item x="167"/>
        <item x="117"/>
        <item x="17"/>
        <item x="68"/>
        <item x="168"/>
        <item x="118"/>
        <item x="18"/>
        <item x="69"/>
        <item x="169"/>
        <item x="119"/>
        <item x="19"/>
        <item x="70"/>
        <item x="170"/>
        <item x="120"/>
        <item x="20"/>
        <item x="71"/>
        <item x="171"/>
        <item x="121"/>
        <item x="21"/>
        <item x="72"/>
        <item x="172"/>
        <item x="122"/>
        <item x="22"/>
        <item x="73"/>
        <item x="173"/>
        <item x="123"/>
        <item x="23"/>
        <item x="74"/>
        <item x="174"/>
        <item x="124"/>
        <item x="24"/>
        <item x="75"/>
        <item x="175"/>
        <item x="125"/>
        <item x="25"/>
        <item x="76"/>
        <item x="176"/>
        <item x="126"/>
        <item x="26"/>
        <item x="77"/>
        <item x="177"/>
        <item x="127"/>
        <item x="27"/>
        <item x="78"/>
        <item x="178"/>
        <item x="128"/>
        <item x="28"/>
        <item x="79"/>
        <item x="179"/>
        <item x="129"/>
        <item x="29"/>
        <item x="80"/>
        <item x="180"/>
        <item x="130"/>
        <item x="30"/>
        <item x="81"/>
        <item x="181"/>
        <item x="131"/>
        <item x="31"/>
        <item x="82"/>
        <item x="182"/>
        <item x="132"/>
        <item x="32"/>
        <item x="83"/>
        <item x="183"/>
        <item x="133"/>
        <item x="33"/>
        <item x="84"/>
        <item x="184"/>
        <item x="134"/>
        <item x="34"/>
        <item x="85"/>
        <item x="185"/>
        <item x="135"/>
        <item x="35"/>
        <item x="86"/>
        <item x="186"/>
        <item x="136"/>
        <item x="36"/>
        <item x="87"/>
        <item x="187"/>
        <item x="137"/>
        <item x="37"/>
        <item x="88"/>
        <item x="188"/>
        <item x="138"/>
        <item x="38"/>
        <item x="89"/>
        <item x="189"/>
        <item x="139"/>
        <item x="39"/>
        <item x="90"/>
        <item x="190"/>
        <item x="140"/>
        <item x="40"/>
        <item x="91"/>
        <item x="191"/>
        <item x="141"/>
        <item x="41"/>
        <item x="92"/>
        <item x="192"/>
        <item x="142"/>
        <item x="42"/>
        <item x="93"/>
        <item x="193"/>
        <item x="143"/>
        <item x="43"/>
        <item x="94"/>
        <item x="194"/>
        <item x="144"/>
        <item x="44"/>
        <item x="95"/>
        <item x="195"/>
        <item x="145"/>
        <item x="45"/>
        <item x="96"/>
        <item x="196"/>
        <item x="146"/>
        <item x="46"/>
        <item x="97"/>
        <item x="197"/>
        <item x="147"/>
        <item x="47"/>
        <item x="98"/>
        <item x="198"/>
        <item x="148"/>
        <item x="48"/>
        <item x="99"/>
        <item x="199"/>
        <item x="149"/>
        <item x="49"/>
        <item t="default"/>
      </items>
    </pivotField>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8">
    <i>
      <x v="1"/>
    </i>
    <i>
      <x v="2"/>
    </i>
    <i>
      <x v="3"/>
    </i>
    <i>
      <x v="4"/>
    </i>
    <i>
      <x v="5"/>
    </i>
    <i>
      <x v="6"/>
    </i>
    <i>
      <x v="7"/>
    </i>
    <i t="grand">
      <x/>
    </i>
  </rowItems>
  <colItems count="1">
    <i/>
  </colItems>
  <dataFields count="1">
    <dataField name="Sum of Total_Sales" fld="6" baseField="0" baseItem="0"/>
  </dataFields>
  <formats count="4">
    <format dxfId="23">
      <pivotArea field="9" type="button" dataOnly="0" labelOnly="1" outline="0" axis="axisRow" fieldPosition="0"/>
    </format>
    <format dxfId="22">
      <pivotArea dataOnly="0" labelOnly="1" outline="0" axis="axisValues" fieldPosition="0"/>
    </format>
    <format dxfId="21">
      <pivotArea grandRow="1" outline="0" collapsedLevelsAreSubtotals="1" fieldPosition="0"/>
    </format>
    <format dxfId="20">
      <pivotArea dataOnly="0" labelOnly="1" grandRow="1" outline="0" fieldPosition="0"/>
    </format>
  </formats>
  <chartFormats count="3">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B9C55B8-21FC-4533-ADDD-4F8FE4A507A0}" sourceName="Region">
  <data>
    <tabular pivotCacheId="759931745">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9942F3-12BB-4CDB-986A-7915799A8A5C}" sourceName="Category">
  <data>
    <tabular pivotCacheId="759931745">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D30D382-D303-4F7C-92FD-B0ADB20B226E}" sourceName="Product">
  <data>
    <tabular pivotCacheId="759931745">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54716B5-2466-49AD-A4DD-85D3B950DDC7}" cache="Slicer_Region" caption="Region" style="SlicerStyleLight4" rowHeight="234950"/>
  <slicer name="Category" xr10:uid="{1D097386-84F2-4C7B-9662-762EDA60CE6E}" cache="Slicer_Category" caption="Category" style="SlicerStyleLight4" rowHeight="234950"/>
  <slicer name="Product" xr10:uid="{92AE5AB3-1A1A-439C-AB73-E5E53E5D6EF1}" cache="Slicer_Product" caption="Product" style="SlicerStyleLight4" rowHeight="234950"/>
</slicers>
</file>

<file path=xl/theme/theme1.xml><?xml version="1.0" encoding="utf-8"?>
<a:theme xmlns:a="http://schemas.openxmlformats.org/drawingml/2006/main" name="Office Theme 2007 - 2010">
  <a:themeElements>
    <a:clrScheme name="Custom 1">
      <a:dk1>
        <a:srgbClr val="000000"/>
      </a:dk1>
      <a:lt1>
        <a:sysClr val="window" lastClr="FFFFFF"/>
      </a:lt1>
      <a:dk2>
        <a:srgbClr val="75B5E4"/>
      </a:dk2>
      <a:lt2>
        <a:srgbClr val="DFE3E5"/>
      </a:lt2>
      <a:accent1>
        <a:srgbClr val="1CADE4"/>
      </a:accent1>
      <a:accent2>
        <a:srgbClr val="2683C6"/>
      </a:accent2>
      <a:accent3>
        <a:srgbClr val="27CED7"/>
      </a:accent3>
      <a:accent4>
        <a:srgbClr val="42BA97"/>
      </a:accent4>
      <a:accent5>
        <a:srgbClr val="3E8853"/>
      </a:accent5>
      <a:accent6>
        <a:srgbClr val="1D9AA1"/>
      </a:accent6>
      <a:hlink>
        <a:srgbClr val="6EAC1C"/>
      </a:hlink>
      <a:folHlink>
        <a:srgbClr val="B26B0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opLeftCell="A7" workbookViewId="0"/>
  </sheetViews>
  <sheetFormatPr defaultRowHeight="14.4" x14ac:dyDescent="0.3"/>
  <cols>
    <col min="1" max="1" width="12.33203125" customWidth="1"/>
  </cols>
  <sheetData>
    <row r="1" spans="1:7" x14ac:dyDescent="0.3">
      <c r="A1" s="1" t="s">
        <v>0</v>
      </c>
      <c r="B1" s="1" t="s">
        <v>1</v>
      </c>
      <c r="C1" s="1" t="s">
        <v>2</v>
      </c>
      <c r="D1" s="1" t="s">
        <v>3</v>
      </c>
      <c r="E1" s="1" t="s">
        <v>4</v>
      </c>
      <c r="F1" s="1" t="s">
        <v>5</v>
      </c>
      <c r="G1" s="1" t="s">
        <v>6</v>
      </c>
    </row>
    <row r="2" spans="1:7" x14ac:dyDescent="0.3">
      <c r="A2" s="2">
        <v>44927</v>
      </c>
      <c r="B2" t="s">
        <v>7</v>
      </c>
      <c r="C2" t="s">
        <v>11</v>
      </c>
      <c r="D2" t="s">
        <v>15</v>
      </c>
      <c r="E2">
        <v>5</v>
      </c>
      <c r="F2">
        <v>50000</v>
      </c>
      <c r="G2">
        <v>250000</v>
      </c>
    </row>
    <row r="3" spans="1:7" x14ac:dyDescent="0.3">
      <c r="A3" s="2">
        <v>44928</v>
      </c>
      <c r="B3" t="s">
        <v>8</v>
      </c>
      <c r="C3" t="s">
        <v>12</v>
      </c>
      <c r="D3" t="s">
        <v>16</v>
      </c>
      <c r="E3">
        <v>8</v>
      </c>
      <c r="F3">
        <v>800</v>
      </c>
      <c r="G3">
        <v>6400</v>
      </c>
    </row>
    <row r="4" spans="1:7" x14ac:dyDescent="0.3">
      <c r="A4" s="2">
        <v>44929</v>
      </c>
      <c r="B4" t="s">
        <v>9</v>
      </c>
      <c r="C4" t="s">
        <v>13</v>
      </c>
      <c r="D4" t="s">
        <v>17</v>
      </c>
      <c r="E4">
        <v>12</v>
      </c>
      <c r="F4">
        <v>60</v>
      </c>
      <c r="G4">
        <v>720</v>
      </c>
    </row>
    <row r="5" spans="1:7" x14ac:dyDescent="0.3">
      <c r="A5" s="2">
        <v>44930</v>
      </c>
      <c r="B5" t="s">
        <v>10</v>
      </c>
      <c r="C5" t="s">
        <v>14</v>
      </c>
      <c r="D5" t="s">
        <v>18</v>
      </c>
      <c r="E5">
        <v>3</v>
      </c>
      <c r="F5">
        <v>300</v>
      </c>
      <c r="G5">
        <v>900</v>
      </c>
    </row>
    <row r="6" spans="1:7" x14ac:dyDescent="0.3">
      <c r="A6" s="2">
        <v>44931</v>
      </c>
      <c r="B6" t="s">
        <v>7</v>
      </c>
      <c r="C6" t="s">
        <v>11</v>
      </c>
      <c r="D6" t="s">
        <v>15</v>
      </c>
      <c r="E6">
        <v>5</v>
      </c>
      <c r="F6">
        <v>50000</v>
      </c>
      <c r="G6">
        <v>250000</v>
      </c>
    </row>
    <row r="7" spans="1:7" x14ac:dyDescent="0.3">
      <c r="A7" s="2">
        <v>44932</v>
      </c>
      <c r="B7" t="s">
        <v>8</v>
      </c>
      <c r="C7" t="s">
        <v>12</v>
      </c>
      <c r="D7" t="s">
        <v>16</v>
      </c>
      <c r="E7">
        <v>8</v>
      </c>
      <c r="F7">
        <v>800</v>
      </c>
      <c r="G7">
        <v>6400</v>
      </c>
    </row>
    <row r="8" spans="1:7" x14ac:dyDescent="0.3">
      <c r="A8" s="2">
        <v>44933</v>
      </c>
      <c r="B8" t="s">
        <v>9</v>
      </c>
      <c r="C8" t="s">
        <v>13</v>
      </c>
      <c r="D8" t="s">
        <v>17</v>
      </c>
      <c r="E8">
        <v>12</v>
      </c>
      <c r="F8">
        <v>60</v>
      </c>
      <c r="G8">
        <v>720</v>
      </c>
    </row>
    <row r="9" spans="1:7" x14ac:dyDescent="0.3">
      <c r="A9" s="2">
        <v>44934</v>
      </c>
      <c r="B9" t="s">
        <v>10</v>
      </c>
      <c r="C9" t="s">
        <v>14</v>
      </c>
      <c r="D9" t="s">
        <v>18</v>
      </c>
      <c r="E9">
        <v>3</v>
      </c>
      <c r="F9">
        <v>300</v>
      </c>
      <c r="G9">
        <v>900</v>
      </c>
    </row>
    <row r="10" spans="1:7" x14ac:dyDescent="0.3">
      <c r="A10" s="2">
        <v>44935</v>
      </c>
      <c r="B10" t="s">
        <v>7</v>
      </c>
      <c r="C10" t="s">
        <v>11</v>
      </c>
      <c r="D10" t="s">
        <v>15</v>
      </c>
      <c r="E10">
        <v>5</v>
      </c>
      <c r="F10">
        <v>50000</v>
      </c>
      <c r="G10">
        <v>250000</v>
      </c>
    </row>
    <row r="11" spans="1:7" x14ac:dyDescent="0.3">
      <c r="A11" s="2">
        <v>44936</v>
      </c>
      <c r="B11" t="s">
        <v>8</v>
      </c>
      <c r="C11" t="s">
        <v>12</v>
      </c>
      <c r="D11" t="s">
        <v>16</v>
      </c>
      <c r="E11">
        <v>8</v>
      </c>
      <c r="F11">
        <v>800</v>
      </c>
      <c r="G11">
        <v>6400</v>
      </c>
    </row>
    <row r="12" spans="1:7" x14ac:dyDescent="0.3">
      <c r="A12" s="2">
        <v>44937</v>
      </c>
      <c r="B12" t="s">
        <v>9</v>
      </c>
      <c r="C12" t="s">
        <v>13</v>
      </c>
      <c r="D12" t="s">
        <v>17</v>
      </c>
      <c r="E12">
        <v>12</v>
      </c>
      <c r="F12">
        <v>60</v>
      </c>
      <c r="G12">
        <v>720</v>
      </c>
    </row>
    <row r="13" spans="1:7" x14ac:dyDescent="0.3">
      <c r="A13" s="2">
        <v>44938</v>
      </c>
      <c r="B13" t="s">
        <v>10</v>
      </c>
      <c r="C13" t="s">
        <v>14</v>
      </c>
      <c r="D13" t="s">
        <v>18</v>
      </c>
      <c r="E13">
        <v>3</v>
      </c>
      <c r="F13">
        <v>300</v>
      </c>
      <c r="G13">
        <v>900</v>
      </c>
    </row>
    <row r="14" spans="1:7" x14ac:dyDescent="0.3">
      <c r="A14" s="2">
        <v>44939</v>
      </c>
      <c r="B14" t="s">
        <v>7</v>
      </c>
      <c r="C14" t="s">
        <v>11</v>
      </c>
      <c r="D14" t="s">
        <v>15</v>
      </c>
      <c r="E14">
        <v>5</v>
      </c>
      <c r="F14">
        <v>50000</v>
      </c>
      <c r="G14">
        <v>250000</v>
      </c>
    </row>
    <row r="15" spans="1:7" x14ac:dyDescent="0.3">
      <c r="A15" s="2">
        <v>44940</v>
      </c>
      <c r="B15" t="s">
        <v>8</v>
      </c>
      <c r="C15" t="s">
        <v>12</v>
      </c>
      <c r="D15" t="s">
        <v>16</v>
      </c>
      <c r="E15">
        <v>8</v>
      </c>
      <c r="F15">
        <v>800</v>
      </c>
      <c r="G15">
        <v>6400</v>
      </c>
    </row>
    <row r="16" spans="1:7" x14ac:dyDescent="0.3">
      <c r="A16" s="2">
        <v>44941</v>
      </c>
      <c r="B16" t="s">
        <v>9</v>
      </c>
      <c r="C16" t="s">
        <v>13</v>
      </c>
      <c r="D16" t="s">
        <v>17</v>
      </c>
      <c r="E16">
        <v>12</v>
      </c>
      <c r="F16">
        <v>60</v>
      </c>
      <c r="G16">
        <v>720</v>
      </c>
    </row>
    <row r="17" spans="1:7" x14ac:dyDescent="0.3">
      <c r="A17" s="2">
        <v>44942</v>
      </c>
      <c r="B17" t="s">
        <v>10</v>
      </c>
      <c r="C17" t="s">
        <v>14</v>
      </c>
      <c r="D17" t="s">
        <v>18</v>
      </c>
      <c r="E17">
        <v>3</v>
      </c>
      <c r="F17">
        <v>300</v>
      </c>
      <c r="G17">
        <v>900</v>
      </c>
    </row>
    <row r="18" spans="1:7" x14ac:dyDescent="0.3">
      <c r="A18" s="2">
        <v>44943</v>
      </c>
      <c r="B18" t="s">
        <v>7</v>
      </c>
      <c r="C18" t="s">
        <v>11</v>
      </c>
      <c r="D18" t="s">
        <v>15</v>
      </c>
      <c r="E18">
        <v>5</v>
      </c>
      <c r="F18">
        <v>50000</v>
      </c>
      <c r="G18">
        <v>250000</v>
      </c>
    </row>
    <row r="19" spans="1:7" x14ac:dyDescent="0.3">
      <c r="A19" s="2">
        <v>44944</v>
      </c>
      <c r="B19" t="s">
        <v>8</v>
      </c>
      <c r="C19" t="s">
        <v>12</v>
      </c>
      <c r="D19" t="s">
        <v>16</v>
      </c>
      <c r="E19">
        <v>8</v>
      </c>
      <c r="F19">
        <v>800</v>
      </c>
      <c r="G19">
        <v>6400</v>
      </c>
    </row>
    <row r="20" spans="1:7" x14ac:dyDescent="0.3">
      <c r="A20" s="2">
        <v>44945</v>
      </c>
      <c r="B20" t="s">
        <v>9</v>
      </c>
      <c r="C20" t="s">
        <v>13</v>
      </c>
      <c r="D20" t="s">
        <v>17</v>
      </c>
      <c r="E20">
        <v>12</v>
      </c>
      <c r="F20">
        <v>60</v>
      </c>
      <c r="G20">
        <v>720</v>
      </c>
    </row>
    <row r="21" spans="1:7" x14ac:dyDescent="0.3">
      <c r="A21" s="2">
        <v>44946</v>
      </c>
      <c r="B21" t="s">
        <v>10</v>
      </c>
      <c r="C21" t="s">
        <v>14</v>
      </c>
      <c r="D21" t="s">
        <v>18</v>
      </c>
      <c r="E21">
        <v>3</v>
      </c>
      <c r="F21">
        <v>300</v>
      </c>
      <c r="G21">
        <v>900</v>
      </c>
    </row>
    <row r="22" spans="1:7" x14ac:dyDescent="0.3">
      <c r="A22" s="2">
        <v>44947</v>
      </c>
      <c r="B22" t="s">
        <v>7</v>
      </c>
      <c r="C22" t="s">
        <v>11</v>
      </c>
      <c r="D22" t="s">
        <v>15</v>
      </c>
      <c r="E22">
        <v>5</v>
      </c>
      <c r="F22">
        <v>50000</v>
      </c>
      <c r="G22">
        <v>250000</v>
      </c>
    </row>
    <row r="23" spans="1:7" x14ac:dyDescent="0.3">
      <c r="A23" s="2">
        <v>44948</v>
      </c>
      <c r="B23" t="s">
        <v>8</v>
      </c>
      <c r="C23" t="s">
        <v>12</v>
      </c>
      <c r="D23" t="s">
        <v>16</v>
      </c>
      <c r="E23">
        <v>8</v>
      </c>
      <c r="F23">
        <v>800</v>
      </c>
      <c r="G23">
        <v>6400</v>
      </c>
    </row>
    <row r="24" spans="1:7" x14ac:dyDescent="0.3">
      <c r="A24" s="2">
        <v>44949</v>
      </c>
      <c r="B24" t="s">
        <v>9</v>
      </c>
      <c r="C24" t="s">
        <v>13</v>
      </c>
      <c r="D24" t="s">
        <v>17</v>
      </c>
      <c r="E24">
        <v>12</v>
      </c>
      <c r="F24">
        <v>60</v>
      </c>
      <c r="G24">
        <v>720</v>
      </c>
    </row>
    <row r="25" spans="1:7" x14ac:dyDescent="0.3">
      <c r="A25" s="2">
        <v>44950</v>
      </c>
      <c r="B25" t="s">
        <v>10</v>
      </c>
      <c r="C25" t="s">
        <v>14</v>
      </c>
      <c r="D25" t="s">
        <v>18</v>
      </c>
      <c r="E25">
        <v>3</v>
      </c>
      <c r="F25">
        <v>300</v>
      </c>
      <c r="G25">
        <v>900</v>
      </c>
    </row>
    <row r="26" spans="1:7" x14ac:dyDescent="0.3">
      <c r="A26" s="2">
        <v>44951</v>
      </c>
      <c r="B26" t="s">
        <v>7</v>
      </c>
      <c r="C26" t="s">
        <v>11</v>
      </c>
      <c r="D26" t="s">
        <v>15</v>
      </c>
      <c r="E26">
        <v>5</v>
      </c>
      <c r="F26">
        <v>50000</v>
      </c>
      <c r="G26">
        <v>250000</v>
      </c>
    </row>
    <row r="27" spans="1:7" x14ac:dyDescent="0.3">
      <c r="A27" s="2">
        <v>44952</v>
      </c>
      <c r="B27" t="s">
        <v>8</v>
      </c>
      <c r="C27" t="s">
        <v>12</v>
      </c>
      <c r="D27" t="s">
        <v>16</v>
      </c>
      <c r="E27">
        <v>8</v>
      </c>
      <c r="F27">
        <v>800</v>
      </c>
      <c r="G27">
        <v>6400</v>
      </c>
    </row>
    <row r="28" spans="1:7" x14ac:dyDescent="0.3">
      <c r="A28" s="2">
        <v>44953</v>
      </c>
      <c r="B28" t="s">
        <v>9</v>
      </c>
      <c r="C28" t="s">
        <v>13</v>
      </c>
      <c r="D28" t="s">
        <v>17</v>
      </c>
      <c r="E28">
        <v>12</v>
      </c>
      <c r="F28">
        <v>60</v>
      </c>
      <c r="G28">
        <v>720</v>
      </c>
    </row>
    <row r="29" spans="1:7" x14ac:dyDescent="0.3">
      <c r="A29" s="2">
        <v>44954</v>
      </c>
      <c r="B29" t="s">
        <v>10</v>
      </c>
      <c r="C29" t="s">
        <v>14</v>
      </c>
      <c r="D29" t="s">
        <v>18</v>
      </c>
      <c r="E29">
        <v>3</v>
      </c>
      <c r="F29">
        <v>300</v>
      </c>
      <c r="G29">
        <v>900</v>
      </c>
    </row>
    <row r="30" spans="1:7" x14ac:dyDescent="0.3">
      <c r="A30" s="2">
        <v>44955</v>
      </c>
      <c r="B30" t="s">
        <v>7</v>
      </c>
      <c r="C30" t="s">
        <v>11</v>
      </c>
      <c r="D30" t="s">
        <v>15</v>
      </c>
      <c r="E30">
        <v>5</v>
      </c>
      <c r="F30">
        <v>50000</v>
      </c>
      <c r="G30">
        <v>250000</v>
      </c>
    </row>
    <row r="31" spans="1:7" x14ac:dyDescent="0.3">
      <c r="A31" s="2">
        <v>44956</v>
      </c>
      <c r="B31" t="s">
        <v>8</v>
      </c>
      <c r="C31" t="s">
        <v>12</v>
      </c>
      <c r="D31" t="s">
        <v>16</v>
      </c>
      <c r="E31">
        <v>8</v>
      </c>
      <c r="F31">
        <v>800</v>
      </c>
      <c r="G31">
        <v>6400</v>
      </c>
    </row>
    <row r="32" spans="1:7" x14ac:dyDescent="0.3">
      <c r="A32" s="2">
        <v>44957</v>
      </c>
      <c r="B32" t="s">
        <v>9</v>
      </c>
      <c r="C32" t="s">
        <v>13</v>
      </c>
      <c r="D32" t="s">
        <v>17</v>
      </c>
      <c r="E32">
        <v>12</v>
      </c>
      <c r="F32">
        <v>60</v>
      </c>
      <c r="G32">
        <v>720</v>
      </c>
    </row>
    <row r="33" spans="1:7" x14ac:dyDescent="0.3">
      <c r="A33" s="2">
        <v>44958</v>
      </c>
      <c r="B33" t="s">
        <v>10</v>
      </c>
      <c r="C33" t="s">
        <v>14</v>
      </c>
      <c r="D33" t="s">
        <v>18</v>
      </c>
      <c r="E33">
        <v>3</v>
      </c>
      <c r="F33">
        <v>300</v>
      </c>
      <c r="G33">
        <v>900</v>
      </c>
    </row>
    <row r="34" spans="1:7" x14ac:dyDescent="0.3">
      <c r="A34" s="2">
        <v>44959</v>
      </c>
      <c r="B34" t="s">
        <v>7</v>
      </c>
      <c r="C34" t="s">
        <v>11</v>
      </c>
      <c r="D34" t="s">
        <v>15</v>
      </c>
      <c r="E34">
        <v>5</v>
      </c>
      <c r="F34">
        <v>50000</v>
      </c>
      <c r="G34">
        <v>250000</v>
      </c>
    </row>
    <row r="35" spans="1:7" x14ac:dyDescent="0.3">
      <c r="A35" s="2">
        <v>44960</v>
      </c>
      <c r="B35" t="s">
        <v>8</v>
      </c>
      <c r="C35" t="s">
        <v>12</v>
      </c>
      <c r="D35" t="s">
        <v>16</v>
      </c>
      <c r="E35">
        <v>8</v>
      </c>
      <c r="F35">
        <v>800</v>
      </c>
      <c r="G35">
        <v>6400</v>
      </c>
    </row>
    <row r="36" spans="1:7" x14ac:dyDescent="0.3">
      <c r="A36" s="2">
        <v>44961</v>
      </c>
      <c r="B36" t="s">
        <v>9</v>
      </c>
      <c r="C36" t="s">
        <v>13</v>
      </c>
      <c r="D36" t="s">
        <v>17</v>
      </c>
      <c r="E36">
        <v>12</v>
      </c>
      <c r="F36">
        <v>60</v>
      </c>
      <c r="G36">
        <v>720</v>
      </c>
    </row>
    <row r="37" spans="1:7" x14ac:dyDescent="0.3">
      <c r="A37" s="2">
        <v>44962</v>
      </c>
      <c r="B37" t="s">
        <v>10</v>
      </c>
      <c r="C37" t="s">
        <v>14</v>
      </c>
      <c r="D37" t="s">
        <v>18</v>
      </c>
      <c r="E37">
        <v>3</v>
      </c>
      <c r="F37">
        <v>300</v>
      </c>
      <c r="G37">
        <v>900</v>
      </c>
    </row>
    <row r="38" spans="1:7" x14ac:dyDescent="0.3">
      <c r="A38" s="2">
        <v>44963</v>
      </c>
      <c r="B38" t="s">
        <v>7</v>
      </c>
      <c r="C38" t="s">
        <v>11</v>
      </c>
      <c r="D38" t="s">
        <v>15</v>
      </c>
      <c r="E38">
        <v>5</v>
      </c>
      <c r="F38">
        <v>50000</v>
      </c>
      <c r="G38">
        <v>250000</v>
      </c>
    </row>
    <row r="39" spans="1:7" x14ac:dyDescent="0.3">
      <c r="A39" s="2">
        <v>44964</v>
      </c>
      <c r="B39" t="s">
        <v>8</v>
      </c>
      <c r="C39" t="s">
        <v>12</v>
      </c>
      <c r="D39" t="s">
        <v>16</v>
      </c>
      <c r="E39">
        <v>8</v>
      </c>
      <c r="F39">
        <v>800</v>
      </c>
      <c r="G39">
        <v>6400</v>
      </c>
    </row>
    <row r="40" spans="1:7" x14ac:dyDescent="0.3">
      <c r="A40" s="2">
        <v>44965</v>
      </c>
      <c r="B40" t="s">
        <v>9</v>
      </c>
      <c r="C40" t="s">
        <v>13</v>
      </c>
      <c r="D40" t="s">
        <v>17</v>
      </c>
      <c r="E40">
        <v>12</v>
      </c>
      <c r="F40">
        <v>60</v>
      </c>
      <c r="G40">
        <v>720</v>
      </c>
    </row>
    <row r="41" spans="1:7" x14ac:dyDescent="0.3">
      <c r="A41" s="2">
        <v>44966</v>
      </c>
      <c r="B41" t="s">
        <v>10</v>
      </c>
      <c r="C41" t="s">
        <v>14</v>
      </c>
      <c r="D41" t="s">
        <v>18</v>
      </c>
      <c r="E41">
        <v>3</v>
      </c>
      <c r="F41">
        <v>300</v>
      </c>
      <c r="G41">
        <v>900</v>
      </c>
    </row>
    <row r="42" spans="1:7" x14ac:dyDescent="0.3">
      <c r="A42" s="2">
        <v>44967</v>
      </c>
      <c r="B42" t="s">
        <v>7</v>
      </c>
      <c r="C42" t="s">
        <v>11</v>
      </c>
      <c r="D42" t="s">
        <v>15</v>
      </c>
      <c r="E42">
        <v>5</v>
      </c>
      <c r="F42">
        <v>50000</v>
      </c>
      <c r="G42">
        <v>250000</v>
      </c>
    </row>
    <row r="43" spans="1:7" x14ac:dyDescent="0.3">
      <c r="A43" s="2">
        <v>44968</v>
      </c>
      <c r="B43" t="s">
        <v>8</v>
      </c>
      <c r="C43" t="s">
        <v>12</v>
      </c>
      <c r="D43" t="s">
        <v>16</v>
      </c>
      <c r="E43">
        <v>8</v>
      </c>
      <c r="F43">
        <v>800</v>
      </c>
      <c r="G43">
        <v>6400</v>
      </c>
    </row>
    <row r="44" spans="1:7" x14ac:dyDescent="0.3">
      <c r="A44" s="2">
        <v>44969</v>
      </c>
      <c r="B44" t="s">
        <v>9</v>
      </c>
      <c r="C44" t="s">
        <v>13</v>
      </c>
      <c r="D44" t="s">
        <v>17</v>
      </c>
      <c r="E44">
        <v>12</v>
      </c>
      <c r="F44">
        <v>60</v>
      </c>
      <c r="G44">
        <v>720</v>
      </c>
    </row>
    <row r="45" spans="1:7" x14ac:dyDescent="0.3">
      <c r="A45" s="2">
        <v>44970</v>
      </c>
      <c r="B45" t="s">
        <v>10</v>
      </c>
      <c r="C45" t="s">
        <v>14</v>
      </c>
      <c r="D45" t="s">
        <v>18</v>
      </c>
      <c r="E45">
        <v>3</v>
      </c>
      <c r="F45">
        <v>300</v>
      </c>
      <c r="G45">
        <v>900</v>
      </c>
    </row>
    <row r="46" spans="1:7" x14ac:dyDescent="0.3">
      <c r="A46" s="2">
        <v>44971</v>
      </c>
      <c r="B46" t="s">
        <v>7</v>
      </c>
      <c r="C46" t="s">
        <v>11</v>
      </c>
      <c r="D46" t="s">
        <v>15</v>
      </c>
      <c r="E46">
        <v>5</v>
      </c>
      <c r="F46">
        <v>50000</v>
      </c>
      <c r="G46">
        <v>250000</v>
      </c>
    </row>
    <row r="47" spans="1:7" x14ac:dyDescent="0.3">
      <c r="A47" s="2">
        <v>44972</v>
      </c>
      <c r="B47" t="s">
        <v>8</v>
      </c>
      <c r="C47" t="s">
        <v>12</v>
      </c>
      <c r="D47" t="s">
        <v>16</v>
      </c>
      <c r="E47">
        <v>8</v>
      </c>
      <c r="F47">
        <v>800</v>
      </c>
      <c r="G47">
        <v>6400</v>
      </c>
    </row>
    <row r="48" spans="1:7" x14ac:dyDescent="0.3">
      <c r="A48" s="2">
        <v>44973</v>
      </c>
      <c r="B48" t="s">
        <v>9</v>
      </c>
      <c r="C48" t="s">
        <v>13</v>
      </c>
      <c r="D48" t="s">
        <v>17</v>
      </c>
      <c r="E48">
        <v>12</v>
      </c>
      <c r="F48">
        <v>60</v>
      </c>
      <c r="G48">
        <v>720</v>
      </c>
    </row>
    <row r="49" spans="1:7" x14ac:dyDescent="0.3">
      <c r="A49" s="2">
        <v>44974</v>
      </c>
      <c r="B49" t="s">
        <v>10</v>
      </c>
      <c r="C49" t="s">
        <v>14</v>
      </c>
      <c r="D49" t="s">
        <v>18</v>
      </c>
      <c r="E49">
        <v>3</v>
      </c>
      <c r="F49">
        <v>300</v>
      </c>
      <c r="G49">
        <v>900</v>
      </c>
    </row>
    <row r="50" spans="1:7" x14ac:dyDescent="0.3">
      <c r="A50" s="2">
        <v>44975</v>
      </c>
      <c r="B50" t="s">
        <v>7</v>
      </c>
      <c r="C50" t="s">
        <v>11</v>
      </c>
      <c r="D50" t="s">
        <v>15</v>
      </c>
      <c r="E50">
        <v>5</v>
      </c>
      <c r="F50">
        <v>50000</v>
      </c>
      <c r="G50">
        <v>250000</v>
      </c>
    </row>
    <row r="51" spans="1:7" x14ac:dyDescent="0.3">
      <c r="A51" s="2">
        <v>44976</v>
      </c>
      <c r="B51" t="s">
        <v>8</v>
      </c>
      <c r="C51" t="s">
        <v>12</v>
      </c>
      <c r="D51" t="s">
        <v>16</v>
      </c>
      <c r="E51">
        <v>8</v>
      </c>
      <c r="F51">
        <v>800</v>
      </c>
      <c r="G51">
        <v>6400</v>
      </c>
    </row>
    <row r="52" spans="1:7" x14ac:dyDescent="0.3">
      <c r="A52" s="2">
        <v>44977</v>
      </c>
      <c r="B52" t="s">
        <v>9</v>
      </c>
      <c r="C52" t="s">
        <v>13</v>
      </c>
      <c r="D52" t="s">
        <v>17</v>
      </c>
      <c r="E52">
        <v>12</v>
      </c>
      <c r="F52">
        <v>60</v>
      </c>
      <c r="G52">
        <v>720</v>
      </c>
    </row>
    <row r="53" spans="1:7" x14ac:dyDescent="0.3">
      <c r="A53" s="2">
        <v>44978</v>
      </c>
      <c r="B53" t="s">
        <v>10</v>
      </c>
      <c r="C53" t="s">
        <v>14</v>
      </c>
      <c r="D53" t="s">
        <v>18</v>
      </c>
      <c r="E53">
        <v>3</v>
      </c>
      <c r="F53">
        <v>300</v>
      </c>
      <c r="G53">
        <v>900</v>
      </c>
    </row>
    <row r="54" spans="1:7" x14ac:dyDescent="0.3">
      <c r="A54" s="2">
        <v>44979</v>
      </c>
      <c r="B54" t="s">
        <v>7</v>
      </c>
      <c r="C54" t="s">
        <v>11</v>
      </c>
      <c r="D54" t="s">
        <v>15</v>
      </c>
      <c r="E54">
        <v>5</v>
      </c>
      <c r="F54">
        <v>50000</v>
      </c>
      <c r="G54">
        <v>250000</v>
      </c>
    </row>
    <row r="55" spans="1:7" x14ac:dyDescent="0.3">
      <c r="A55" s="2">
        <v>44980</v>
      </c>
      <c r="B55" t="s">
        <v>8</v>
      </c>
      <c r="C55" t="s">
        <v>12</v>
      </c>
      <c r="D55" t="s">
        <v>16</v>
      </c>
      <c r="E55">
        <v>8</v>
      </c>
      <c r="F55">
        <v>800</v>
      </c>
      <c r="G55">
        <v>6400</v>
      </c>
    </row>
    <row r="56" spans="1:7" x14ac:dyDescent="0.3">
      <c r="A56" s="2">
        <v>44981</v>
      </c>
      <c r="B56" t="s">
        <v>9</v>
      </c>
      <c r="C56" t="s">
        <v>13</v>
      </c>
      <c r="D56" t="s">
        <v>17</v>
      </c>
      <c r="E56">
        <v>12</v>
      </c>
      <c r="F56">
        <v>60</v>
      </c>
      <c r="G56">
        <v>720</v>
      </c>
    </row>
    <row r="57" spans="1:7" x14ac:dyDescent="0.3">
      <c r="A57" s="2">
        <v>44982</v>
      </c>
      <c r="B57" t="s">
        <v>10</v>
      </c>
      <c r="C57" t="s">
        <v>14</v>
      </c>
      <c r="D57" t="s">
        <v>18</v>
      </c>
      <c r="E57">
        <v>3</v>
      </c>
      <c r="F57">
        <v>300</v>
      </c>
      <c r="G57">
        <v>900</v>
      </c>
    </row>
    <row r="58" spans="1:7" x14ac:dyDescent="0.3">
      <c r="A58" s="2">
        <v>44983</v>
      </c>
      <c r="B58" t="s">
        <v>7</v>
      </c>
      <c r="C58" t="s">
        <v>11</v>
      </c>
      <c r="D58" t="s">
        <v>15</v>
      </c>
      <c r="E58">
        <v>5</v>
      </c>
      <c r="F58">
        <v>50000</v>
      </c>
      <c r="G58">
        <v>250000</v>
      </c>
    </row>
    <row r="59" spans="1:7" x14ac:dyDescent="0.3">
      <c r="A59" s="2">
        <v>44984</v>
      </c>
      <c r="B59" t="s">
        <v>8</v>
      </c>
      <c r="C59" t="s">
        <v>12</v>
      </c>
      <c r="D59" t="s">
        <v>16</v>
      </c>
      <c r="E59">
        <v>8</v>
      </c>
      <c r="F59">
        <v>800</v>
      </c>
      <c r="G59">
        <v>6400</v>
      </c>
    </row>
    <row r="60" spans="1:7" x14ac:dyDescent="0.3">
      <c r="A60" s="2">
        <v>44985</v>
      </c>
      <c r="B60" t="s">
        <v>9</v>
      </c>
      <c r="C60" t="s">
        <v>13</v>
      </c>
      <c r="D60" t="s">
        <v>17</v>
      </c>
      <c r="E60">
        <v>12</v>
      </c>
      <c r="F60">
        <v>60</v>
      </c>
      <c r="G60">
        <v>720</v>
      </c>
    </row>
    <row r="61" spans="1:7" x14ac:dyDescent="0.3">
      <c r="A61" s="2">
        <v>44986</v>
      </c>
      <c r="B61" t="s">
        <v>10</v>
      </c>
      <c r="C61" t="s">
        <v>14</v>
      </c>
      <c r="D61" t="s">
        <v>18</v>
      </c>
      <c r="E61">
        <v>3</v>
      </c>
      <c r="F61">
        <v>300</v>
      </c>
      <c r="G61">
        <v>900</v>
      </c>
    </row>
    <row r="62" spans="1:7" x14ac:dyDescent="0.3">
      <c r="A62" s="2">
        <v>44987</v>
      </c>
      <c r="B62" t="s">
        <v>7</v>
      </c>
      <c r="C62" t="s">
        <v>11</v>
      </c>
      <c r="D62" t="s">
        <v>15</v>
      </c>
      <c r="E62">
        <v>5</v>
      </c>
      <c r="F62">
        <v>50000</v>
      </c>
      <c r="G62">
        <v>250000</v>
      </c>
    </row>
    <row r="63" spans="1:7" x14ac:dyDescent="0.3">
      <c r="A63" s="2">
        <v>44988</v>
      </c>
      <c r="B63" t="s">
        <v>8</v>
      </c>
      <c r="C63" t="s">
        <v>12</v>
      </c>
      <c r="D63" t="s">
        <v>16</v>
      </c>
      <c r="E63">
        <v>8</v>
      </c>
      <c r="F63">
        <v>800</v>
      </c>
      <c r="G63">
        <v>6400</v>
      </c>
    </row>
    <row r="64" spans="1:7" x14ac:dyDescent="0.3">
      <c r="A64" s="2">
        <v>44989</v>
      </c>
      <c r="B64" t="s">
        <v>9</v>
      </c>
      <c r="C64" t="s">
        <v>13</v>
      </c>
      <c r="D64" t="s">
        <v>17</v>
      </c>
      <c r="E64">
        <v>12</v>
      </c>
      <c r="F64">
        <v>60</v>
      </c>
      <c r="G64">
        <v>720</v>
      </c>
    </row>
    <row r="65" spans="1:7" x14ac:dyDescent="0.3">
      <c r="A65" s="2">
        <v>44990</v>
      </c>
      <c r="B65" t="s">
        <v>10</v>
      </c>
      <c r="C65" t="s">
        <v>14</v>
      </c>
      <c r="D65" t="s">
        <v>18</v>
      </c>
      <c r="E65">
        <v>3</v>
      </c>
      <c r="F65">
        <v>300</v>
      </c>
      <c r="G65">
        <v>900</v>
      </c>
    </row>
    <row r="66" spans="1:7" x14ac:dyDescent="0.3">
      <c r="A66" s="2">
        <v>44991</v>
      </c>
      <c r="B66" t="s">
        <v>7</v>
      </c>
      <c r="C66" t="s">
        <v>11</v>
      </c>
      <c r="D66" t="s">
        <v>15</v>
      </c>
      <c r="E66">
        <v>5</v>
      </c>
      <c r="F66">
        <v>50000</v>
      </c>
      <c r="G66">
        <v>250000</v>
      </c>
    </row>
    <row r="67" spans="1:7" x14ac:dyDescent="0.3">
      <c r="A67" s="2">
        <v>44992</v>
      </c>
      <c r="B67" t="s">
        <v>8</v>
      </c>
      <c r="C67" t="s">
        <v>12</v>
      </c>
      <c r="D67" t="s">
        <v>16</v>
      </c>
      <c r="E67">
        <v>8</v>
      </c>
      <c r="F67">
        <v>800</v>
      </c>
      <c r="G67">
        <v>6400</v>
      </c>
    </row>
    <row r="68" spans="1:7" x14ac:dyDescent="0.3">
      <c r="A68" s="2">
        <v>44993</v>
      </c>
      <c r="B68" t="s">
        <v>9</v>
      </c>
      <c r="C68" t="s">
        <v>13</v>
      </c>
      <c r="D68" t="s">
        <v>17</v>
      </c>
      <c r="E68">
        <v>12</v>
      </c>
      <c r="F68">
        <v>60</v>
      </c>
      <c r="G68">
        <v>720</v>
      </c>
    </row>
    <row r="69" spans="1:7" x14ac:dyDescent="0.3">
      <c r="A69" s="2">
        <v>44994</v>
      </c>
      <c r="B69" t="s">
        <v>10</v>
      </c>
      <c r="C69" t="s">
        <v>14</v>
      </c>
      <c r="D69" t="s">
        <v>18</v>
      </c>
      <c r="E69">
        <v>3</v>
      </c>
      <c r="F69">
        <v>300</v>
      </c>
      <c r="G69">
        <v>900</v>
      </c>
    </row>
    <row r="70" spans="1:7" x14ac:dyDescent="0.3">
      <c r="A70" s="2">
        <v>44995</v>
      </c>
      <c r="B70" t="s">
        <v>7</v>
      </c>
      <c r="C70" t="s">
        <v>11</v>
      </c>
      <c r="D70" t="s">
        <v>15</v>
      </c>
      <c r="E70">
        <v>5</v>
      </c>
      <c r="F70">
        <v>50000</v>
      </c>
      <c r="G70">
        <v>250000</v>
      </c>
    </row>
    <row r="71" spans="1:7" x14ac:dyDescent="0.3">
      <c r="A71" s="2">
        <v>44996</v>
      </c>
      <c r="B71" t="s">
        <v>8</v>
      </c>
      <c r="C71" t="s">
        <v>12</v>
      </c>
      <c r="D71" t="s">
        <v>16</v>
      </c>
      <c r="E71">
        <v>8</v>
      </c>
      <c r="F71">
        <v>800</v>
      </c>
      <c r="G71">
        <v>6400</v>
      </c>
    </row>
    <row r="72" spans="1:7" x14ac:dyDescent="0.3">
      <c r="A72" s="2">
        <v>44997</v>
      </c>
      <c r="B72" t="s">
        <v>9</v>
      </c>
      <c r="C72" t="s">
        <v>13</v>
      </c>
      <c r="D72" t="s">
        <v>17</v>
      </c>
      <c r="E72">
        <v>12</v>
      </c>
      <c r="F72">
        <v>60</v>
      </c>
      <c r="G72">
        <v>720</v>
      </c>
    </row>
    <row r="73" spans="1:7" x14ac:dyDescent="0.3">
      <c r="A73" s="2">
        <v>44998</v>
      </c>
      <c r="B73" t="s">
        <v>10</v>
      </c>
      <c r="C73" t="s">
        <v>14</v>
      </c>
      <c r="D73" t="s">
        <v>18</v>
      </c>
      <c r="E73">
        <v>3</v>
      </c>
      <c r="F73">
        <v>300</v>
      </c>
      <c r="G73">
        <v>900</v>
      </c>
    </row>
    <row r="74" spans="1:7" x14ac:dyDescent="0.3">
      <c r="A74" s="2">
        <v>44999</v>
      </c>
      <c r="B74" t="s">
        <v>7</v>
      </c>
      <c r="C74" t="s">
        <v>11</v>
      </c>
      <c r="D74" t="s">
        <v>15</v>
      </c>
      <c r="E74">
        <v>5</v>
      </c>
      <c r="F74">
        <v>50000</v>
      </c>
      <c r="G74">
        <v>250000</v>
      </c>
    </row>
    <row r="75" spans="1:7" x14ac:dyDescent="0.3">
      <c r="A75" s="2">
        <v>45000</v>
      </c>
      <c r="B75" t="s">
        <v>8</v>
      </c>
      <c r="C75" t="s">
        <v>12</v>
      </c>
      <c r="D75" t="s">
        <v>16</v>
      </c>
      <c r="E75">
        <v>8</v>
      </c>
      <c r="F75">
        <v>800</v>
      </c>
      <c r="G75">
        <v>6400</v>
      </c>
    </row>
    <row r="76" spans="1:7" x14ac:dyDescent="0.3">
      <c r="A76" s="2">
        <v>45001</v>
      </c>
      <c r="B76" t="s">
        <v>9</v>
      </c>
      <c r="C76" t="s">
        <v>13</v>
      </c>
      <c r="D76" t="s">
        <v>17</v>
      </c>
      <c r="E76">
        <v>12</v>
      </c>
      <c r="F76">
        <v>60</v>
      </c>
      <c r="G76">
        <v>720</v>
      </c>
    </row>
    <row r="77" spans="1:7" x14ac:dyDescent="0.3">
      <c r="A77" s="2">
        <v>45002</v>
      </c>
      <c r="B77" t="s">
        <v>10</v>
      </c>
      <c r="C77" t="s">
        <v>14</v>
      </c>
      <c r="D77" t="s">
        <v>18</v>
      </c>
      <c r="E77">
        <v>3</v>
      </c>
      <c r="F77">
        <v>300</v>
      </c>
      <c r="G77">
        <v>900</v>
      </c>
    </row>
    <row r="78" spans="1:7" x14ac:dyDescent="0.3">
      <c r="A78" s="2">
        <v>45003</v>
      </c>
      <c r="B78" t="s">
        <v>7</v>
      </c>
      <c r="C78" t="s">
        <v>11</v>
      </c>
      <c r="D78" t="s">
        <v>15</v>
      </c>
      <c r="E78">
        <v>5</v>
      </c>
      <c r="F78">
        <v>50000</v>
      </c>
      <c r="G78">
        <v>250000</v>
      </c>
    </row>
    <row r="79" spans="1:7" x14ac:dyDescent="0.3">
      <c r="A79" s="2">
        <v>45004</v>
      </c>
      <c r="B79" t="s">
        <v>8</v>
      </c>
      <c r="C79" t="s">
        <v>12</v>
      </c>
      <c r="D79" t="s">
        <v>16</v>
      </c>
      <c r="E79">
        <v>8</v>
      </c>
      <c r="F79">
        <v>800</v>
      </c>
      <c r="G79">
        <v>6400</v>
      </c>
    </row>
    <row r="80" spans="1:7" x14ac:dyDescent="0.3">
      <c r="A80" s="2">
        <v>45005</v>
      </c>
      <c r="B80" t="s">
        <v>9</v>
      </c>
      <c r="C80" t="s">
        <v>13</v>
      </c>
      <c r="D80" t="s">
        <v>17</v>
      </c>
      <c r="E80">
        <v>12</v>
      </c>
      <c r="F80">
        <v>60</v>
      </c>
      <c r="G80">
        <v>720</v>
      </c>
    </row>
    <row r="81" spans="1:7" x14ac:dyDescent="0.3">
      <c r="A81" s="2">
        <v>45006</v>
      </c>
      <c r="B81" t="s">
        <v>10</v>
      </c>
      <c r="C81" t="s">
        <v>14</v>
      </c>
      <c r="D81" t="s">
        <v>18</v>
      </c>
      <c r="E81">
        <v>3</v>
      </c>
      <c r="F81">
        <v>300</v>
      </c>
      <c r="G81">
        <v>900</v>
      </c>
    </row>
    <row r="82" spans="1:7" x14ac:dyDescent="0.3">
      <c r="A82" s="2">
        <v>45007</v>
      </c>
      <c r="B82" t="s">
        <v>7</v>
      </c>
      <c r="C82" t="s">
        <v>11</v>
      </c>
      <c r="D82" t="s">
        <v>15</v>
      </c>
      <c r="E82">
        <v>5</v>
      </c>
      <c r="F82">
        <v>50000</v>
      </c>
      <c r="G82">
        <v>250000</v>
      </c>
    </row>
    <row r="83" spans="1:7" x14ac:dyDescent="0.3">
      <c r="A83" s="2">
        <v>45008</v>
      </c>
      <c r="B83" t="s">
        <v>8</v>
      </c>
      <c r="C83" t="s">
        <v>12</v>
      </c>
      <c r="D83" t="s">
        <v>16</v>
      </c>
      <c r="E83">
        <v>8</v>
      </c>
      <c r="F83">
        <v>800</v>
      </c>
      <c r="G83">
        <v>6400</v>
      </c>
    </row>
    <row r="84" spans="1:7" x14ac:dyDescent="0.3">
      <c r="A84" s="2">
        <v>45009</v>
      </c>
      <c r="B84" t="s">
        <v>9</v>
      </c>
      <c r="C84" t="s">
        <v>13</v>
      </c>
      <c r="D84" t="s">
        <v>17</v>
      </c>
      <c r="E84">
        <v>12</v>
      </c>
      <c r="F84">
        <v>60</v>
      </c>
      <c r="G84">
        <v>720</v>
      </c>
    </row>
    <row r="85" spans="1:7" x14ac:dyDescent="0.3">
      <c r="A85" s="2">
        <v>45010</v>
      </c>
      <c r="B85" t="s">
        <v>10</v>
      </c>
      <c r="C85" t="s">
        <v>14</v>
      </c>
      <c r="D85" t="s">
        <v>18</v>
      </c>
      <c r="E85">
        <v>3</v>
      </c>
      <c r="F85">
        <v>300</v>
      </c>
      <c r="G85">
        <v>900</v>
      </c>
    </row>
    <row r="86" spans="1:7" x14ac:dyDescent="0.3">
      <c r="A86" s="2">
        <v>45011</v>
      </c>
      <c r="B86" t="s">
        <v>7</v>
      </c>
      <c r="C86" t="s">
        <v>11</v>
      </c>
      <c r="D86" t="s">
        <v>15</v>
      </c>
      <c r="E86">
        <v>5</v>
      </c>
      <c r="F86">
        <v>50000</v>
      </c>
      <c r="G86">
        <v>250000</v>
      </c>
    </row>
    <row r="87" spans="1:7" x14ac:dyDescent="0.3">
      <c r="A87" s="2">
        <v>45012</v>
      </c>
      <c r="B87" t="s">
        <v>8</v>
      </c>
      <c r="C87" t="s">
        <v>12</v>
      </c>
      <c r="D87" t="s">
        <v>16</v>
      </c>
      <c r="E87">
        <v>8</v>
      </c>
      <c r="F87">
        <v>800</v>
      </c>
      <c r="G87">
        <v>6400</v>
      </c>
    </row>
    <row r="88" spans="1:7" x14ac:dyDescent="0.3">
      <c r="A88" s="2">
        <v>45013</v>
      </c>
      <c r="B88" t="s">
        <v>9</v>
      </c>
      <c r="C88" t="s">
        <v>13</v>
      </c>
      <c r="D88" t="s">
        <v>17</v>
      </c>
      <c r="E88">
        <v>12</v>
      </c>
      <c r="F88">
        <v>60</v>
      </c>
      <c r="G88">
        <v>720</v>
      </c>
    </row>
    <row r="89" spans="1:7" x14ac:dyDescent="0.3">
      <c r="A89" s="2">
        <v>45014</v>
      </c>
      <c r="B89" t="s">
        <v>10</v>
      </c>
      <c r="C89" t="s">
        <v>14</v>
      </c>
      <c r="D89" t="s">
        <v>18</v>
      </c>
      <c r="E89">
        <v>3</v>
      </c>
      <c r="F89">
        <v>300</v>
      </c>
      <c r="G89">
        <v>900</v>
      </c>
    </row>
    <row r="90" spans="1:7" x14ac:dyDescent="0.3">
      <c r="A90" s="2">
        <v>45015</v>
      </c>
      <c r="B90" t="s">
        <v>7</v>
      </c>
      <c r="C90" t="s">
        <v>11</v>
      </c>
      <c r="D90" t="s">
        <v>15</v>
      </c>
      <c r="E90">
        <v>5</v>
      </c>
      <c r="F90">
        <v>50000</v>
      </c>
      <c r="G90">
        <v>250000</v>
      </c>
    </row>
    <row r="91" spans="1:7" x14ac:dyDescent="0.3">
      <c r="A91" s="2">
        <v>45016</v>
      </c>
      <c r="B91" t="s">
        <v>8</v>
      </c>
      <c r="C91" t="s">
        <v>12</v>
      </c>
      <c r="D91" t="s">
        <v>16</v>
      </c>
      <c r="E91">
        <v>8</v>
      </c>
      <c r="F91">
        <v>800</v>
      </c>
      <c r="G91">
        <v>6400</v>
      </c>
    </row>
    <row r="92" spans="1:7" x14ac:dyDescent="0.3">
      <c r="A92" s="2">
        <v>45017</v>
      </c>
      <c r="B92" t="s">
        <v>9</v>
      </c>
      <c r="C92" t="s">
        <v>13</v>
      </c>
      <c r="D92" t="s">
        <v>17</v>
      </c>
      <c r="E92">
        <v>12</v>
      </c>
      <c r="F92">
        <v>60</v>
      </c>
      <c r="G92">
        <v>720</v>
      </c>
    </row>
    <row r="93" spans="1:7" x14ac:dyDescent="0.3">
      <c r="A93" s="2">
        <v>45018</v>
      </c>
      <c r="B93" t="s">
        <v>10</v>
      </c>
      <c r="C93" t="s">
        <v>14</v>
      </c>
      <c r="D93" t="s">
        <v>18</v>
      </c>
      <c r="E93">
        <v>3</v>
      </c>
      <c r="F93">
        <v>300</v>
      </c>
      <c r="G93">
        <v>900</v>
      </c>
    </row>
    <row r="94" spans="1:7" x14ac:dyDescent="0.3">
      <c r="A94" s="2">
        <v>45019</v>
      </c>
      <c r="B94" t="s">
        <v>7</v>
      </c>
      <c r="C94" t="s">
        <v>11</v>
      </c>
      <c r="D94" t="s">
        <v>15</v>
      </c>
      <c r="E94">
        <v>5</v>
      </c>
      <c r="F94">
        <v>50000</v>
      </c>
      <c r="G94">
        <v>250000</v>
      </c>
    </row>
    <row r="95" spans="1:7" x14ac:dyDescent="0.3">
      <c r="A95" s="2">
        <v>45020</v>
      </c>
      <c r="B95" t="s">
        <v>8</v>
      </c>
      <c r="C95" t="s">
        <v>12</v>
      </c>
      <c r="D95" t="s">
        <v>16</v>
      </c>
      <c r="E95">
        <v>8</v>
      </c>
      <c r="F95">
        <v>800</v>
      </c>
      <c r="G95">
        <v>6400</v>
      </c>
    </row>
    <row r="96" spans="1:7" x14ac:dyDescent="0.3">
      <c r="A96" s="2">
        <v>45021</v>
      </c>
      <c r="B96" t="s">
        <v>9</v>
      </c>
      <c r="C96" t="s">
        <v>13</v>
      </c>
      <c r="D96" t="s">
        <v>17</v>
      </c>
      <c r="E96">
        <v>12</v>
      </c>
      <c r="F96">
        <v>60</v>
      </c>
      <c r="G96">
        <v>720</v>
      </c>
    </row>
    <row r="97" spans="1:7" x14ac:dyDescent="0.3">
      <c r="A97" s="2">
        <v>45022</v>
      </c>
      <c r="B97" t="s">
        <v>10</v>
      </c>
      <c r="C97" t="s">
        <v>14</v>
      </c>
      <c r="D97" t="s">
        <v>18</v>
      </c>
      <c r="E97">
        <v>3</v>
      </c>
      <c r="F97">
        <v>300</v>
      </c>
      <c r="G97">
        <v>900</v>
      </c>
    </row>
    <row r="98" spans="1:7" x14ac:dyDescent="0.3">
      <c r="A98" s="2">
        <v>45023</v>
      </c>
      <c r="B98" t="s">
        <v>7</v>
      </c>
      <c r="C98" t="s">
        <v>11</v>
      </c>
      <c r="D98" t="s">
        <v>15</v>
      </c>
      <c r="E98">
        <v>5</v>
      </c>
      <c r="F98">
        <v>50000</v>
      </c>
      <c r="G98">
        <v>250000</v>
      </c>
    </row>
    <row r="99" spans="1:7" x14ac:dyDescent="0.3">
      <c r="A99" s="2">
        <v>45024</v>
      </c>
      <c r="B99" t="s">
        <v>8</v>
      </c>
      <c r="C99" t="s">
        <v>12</v>
      </c>
      <c r="D99" t="s">
        <v>16</v>
      </c>
      <c r="E99">
        <v>8</v>
      </c>
      <c r="F99">
        <v>800</v>
      </c>
      <c r="G99">
        <v>6400</v>
      </c>
    </row>
    <row r="100" spans="1:7" x14ac:dyDescent="0.3">
      <c r="A100" s="2">
        <v>45025</v>
      </c>
      <c r="B100" t="s">
        <v>9</v>
      </c>
      <c r="C100" t="s">
        <v>13</v>
      </c>
      <c r="D100" t="s">
        <v>17</v>
      </c>
      <c r="E100">
        <v>12</v>
      </c>
      <c r="F100">
        <v>60</v>
      </c>
      <c r="G100">
        <v>720</v>
      </c>
    </row>
    <row r="101" spans="1:7" x14ac:dyDescent="0.3">
      <c r="A101" s="2">
        <v>45026</v>
      </c>
      <c r="B101" t="s">
        <v>10</v>
      </c>
      <c r="C101" t="s">
        <v>14</v>
      </c>
      <c r="D101" t="s">
        <v>18</v>
      </c>
      <c r="E101">
        <v>3</v>
      </c>
      <c r="F101">
        <v>300</v>
      </c>
      <c r="G101">
        <v>900</v>
      </c>
    </row>
    <row r="102" spans="1:7" x14ac:dyDescent="0.3">
      <c r="A102" s="2">
        <v>45027</v>
      </c>
      <c r="B102" t="s">
        <v>7</v>
      </c>
      <c r="C102" t="s">
        <v>11</v>
      </c>
      <c r="D102" t="s">
        <v>15</v>
      </c>
      <c r="E102">
        <v>5</v>
      </c>
      <c r="F102">
        <v>50000</v>
      </c>
      <c r="G102">
        <v>250000</v>
      </c>
    </row>
    <row r="103" spans="1:7" x14ac:dyDescent="0.3">
      <c r="A103" s="2">
        <v>45028</v>
      </c>
      <c r="B103" t="s">
        <v>8</v>
      </c>
      <c r="C103" t="s">
        <v>12</v>
      </c>
      <c r="D103" t="s">
        <v>16</v>
      </c>
      <c r="E103">
        <v>8</v>
      </c>
      <c r="F103">
        <v>800</v>
      </c>
      <c r="G103">
        <v>6400</v>
      </c>
    </row>
    <row r="104" spans="1:7" x14ac:dyDescent="0.3">
      <c r="A104" s="2">
        <v>45029</v>
      </c>
      <c r="B104" t="s">
        <v>9</v>
      </c>
      <c r="C104" t="s">
        <v>13</v>
      </c>
      <c r="D104" t="s">
        <v>17</v>
      </c>
      <c r="E104">
        <v>12</v>
      </c>
      <c r="F104">
        <v>60</v>
      </c>
      <c r="G104">
        <v>720</v>
      </c>
    </row>
    <row r="105" spans="1:7" x14ac:dyDescent="0.3">
      <c r="A105" s="2">
        <v>45030</v>
      </c>
      <c r="B105" t="s">
        <v>10</v>
      </c>
      <c r="C105" t="s">
        <v>14</v>
      </c>
      <c r="D105" t="s">
        <v>18</v>
      </c>
      <c r="E105">
        <v>3</v>
      </c>
      <c r="F105">
        <v>300</v>
      </c>
      <c r="G105">
        <v>900</v>
      </c>
    </row>
    <row r="106" spans="1:7" x14ac:dyDescent="0.3">
      <c r="A106" s="2">
        <v>45031</v>
      </c>
      <c r="B106" t="s">
        <v>7</v>
      </c>
      <c r="C106" t="s">
        <v>11</v>
      </c>
      <c r="D106" t="s">
        <v>15</v>
      </c>
      <c r="E106">
        <v>5</v>
      </c>
      <c r="F106">
        <v>50000</v>
      </c>
      <c r="G106">
        <v>250000</v>
      </c>
    </row>
    <row r="107" spans="1:7" x14ac:dyDescent="0.3">
      <c r="A107" s="2">
        <v>45032</v>
      </c>
      <c r="B107" t="s">
        <v>8</v>
      </c>
      <c r="C107" t="s">
        <v>12</v>
      </c>
      <c r="D107" t="s">
        <v>16</v>
      </c>
      <c r="E107">
        <v>8</v>
      </c>
      <c r="F107">
        <v>800</v>
      </c>
      <c r="G107">
        <v>6400</v>
      </c>
    </row>
    <row r="108" spans="1:7" x14ac:dyDescent="0.3">
      <c r="A108" s="2">
        <v>45033</v>
      </c>
      <c r="B108" t="s">
        <v>9</v>
      </c>
      <c r="C108" t="s">
        <v>13</v>
      </c>
      <c r="D108" t="s">
        <v>17</v>
      </c>
      <c r="E108">
        <v>12</v>
      </c>
      <c r="F108">
        <v>60</v>
      </c>
      <c r="G108">
        <v>720</v>
      </c>
    </row>
    <row r="109" spans="1:7" x14ac:dyDescent="0.3">
      <c r="A109" s="2">
        <v>45034</v>
      </c>
      <c r="B109" t="s">
        <v>10</v>
      </c>
      <c r="C109" t="s">
        <v>14</v>
      </c>
      <c r="D109" t="s">
        <v>18</v>
      </c>
      <c r="E109">
        <v>3</v>
      </c>
      <c r="F109">
        <v>300</v>
      </c>
      <c r="G109">
        <v>900</v>
      </c>
    </row>
    <row r="110" spans="1:7" x14ac:dyDescent="0.3">
      <c r="A110" s="2">
        <v>45035</v>
      </c>
      <c r="B110" t="s">
        <v>7</v>
      </c>
      <c r="C110" t="s">
        <v>11</v>
      </c>
      <c r="D110" t="s">
        <v>15</v>
      </c>
      <c r="E110">
        <v>5</v>
      </c>
      <c r="F110">
        <v>50000</v>
      </c>
      <c r="G110">
        <v>250000</v>
      </c>
    </row>
    <row r="111" spans="1:7" x14ac:dyDescent="0.3">
      <c r="A111" s="2">
        <v>45036</v>
      </c>
      <c r="B111" t="s">
        <v>8</v>
      </c>
      <c r="C111" t="s">
        <v>12</v>
      </c>
      <c r="D111" t="s">
        <v>16</v>
      </c>
      <c r="E111">
        <v>8</v>
      </c>
      <c r="F111">
        <v>800</v>
      </c>
      <c r="G111">
        <v>6400</v>
      </c>
    </row>
    <row r="112" spans="1:7" x14ac:dyDescent="0.3">
      <c r="A112" s="2">
        <v>45037</v>
      </c>
      <c r="B112" t="s">
        <v>9</v>
      </c>
      <c r="C112" t="s">
        <v>13</v>
      </c>
      <c r="D112" t="s">
        <v>17</v>
      </c>
      <c r="E112">
        <v>12</v>
      </c>
      <c r="F112">
        <v>60</v>
      </c>
      <c r="G112">
        <v>720</v>
      </c>
    </row>
    <row r="113" spans="1:7" x14ac:dyDescent="0.3">
      <c r="A113" s="2">
        <v>45038</v>
      </c>
      <c r="B113" t="s">
        <v>10</v>
      </c>
      <c r="C113" t="s">
        <v>14</v>
      </c>
      <c r="D113" t="s">
        <v>18</v>
      </c>
      <c r="E113">
        <v>3</v>
      </c>
      <c r="F113">
        <v>300</v>
      </c>
      <c r="G113">
        <v>900</v>
      </c>
    </row>
    <row r="114" spans="1:7" x14ac:dyDescent="0.3">
      <c r="A114" s="2">
        <v>45039</v>
      </c>
      <c r="B114" t="s">
        <v>7</v>
      </c>
      <c r="C114" t="s">
        <v>11</v>
      </c>
      <c r="D114" t="s">
        <v>15</v>
      </c>
      <c r="E114">
        <v>5</v>
      </c>
      <c r="F114">
        <v>50000</v>
      </c>
      <c r="G114">
        <v>250000</v>
      </c>
    </row>
    <row r="115" spans="1:7" x14ac:dyDescent="0.3">
      <c r="A115" s="2">
        <v>45040</v>
      </c>
      <c r="B115" t="s">
        <v>8</v>
      </c>
      <c r="C115" t="s">
        <v>12</v>
      </c>
      <c r="D115" t="s">
        <v>16</v>
      </c>
      <c r="E115">
        <v>8</v>
      </c>
      <c r="F115">
        <v>800</v>
      </c>
      <c r="G115">
        <v>6400</v>
      </c>
    </row>
    <row r="116" spans="1:7" x14ac:dyDescent="0.3">
      <c r="A116" s="2">
        <v>45041</v>
      </c>
      <c r="B116" t="s">
        <v>9</v>
      </c>
      <c r="C116" t="s">
        <v>13</v>
      </c>
      <c r="D116" t="s">
        <v>17</v>
      </c>
      <c r="E116">
        <v>12</v>
      </c>
      <c r="F116">
        <v>60</v>
      </c>
      <c r="G116">
        <v>720</v>
      </c>
    </row>
    <row r="117" spans="1:7" x14ac:dyDescent="0.3">
      <c r="A117" s="2">
        <v>45042</v>
      </c>
      <c r="B117" t="s">
        <v>10</v>
      </c>
      <c r="C117" t="s">
        <v>14</v>
      </c>
      <c r="D117" t="s">
        <v>18</v>
      </c>
      <c r="E117">
        <v>3</v>
      </c>
      <c r="F117">
        <v>300</v>
      </c>
      <c r="G117">
        <v>900</v>
      </c>
    </row>
    <row r="118" spans="1:7" x14ac:dyDescent="0.3">
      <c r="A118" s="2">
        <v>45043</v>
      </c>
      <c r="B118" t="s">
        <v>7</v>
      </c>
      <c r="C118" t="s">
        <v>11</v>
      </c>
      <c r="D118" t="s">
        <v>15</v>
      </c>
      <c r="E118">
        <v>5</v>
      </c>
      <c r="F118">
        <v>50000</v>
      </c>
      <c r="G118">
        <v>250000</v>
      </c>
    </row>
    <row r="119" spans="1:7" x14ac:dyDescent="0.3">
      <c r="A119" s="2">
        <v>45044</v>
      </c>
      <c r="B119" t="s">
        <v>8</v>
      </c>
      <c r="C119" t="s">
        <v>12</v>
      </c>
      <c r="D119" t="s">
        <v>16</v>
      </c>
      <c r="E119">
        <v>8</v>
      </c>
      <c r="F119">
        <v>800</v>
      </c>
      <c r="G119">
        <v>6400</v>
      </c>
    </row>
    <row r="120" spans="1:7" x14ac:dyDescent="0.3">
      <c r="A120" s="2">
        <v>45045</v>
      </c>
      <c r="B120" t="s">
        <v>9</v>
      </c>
      <c r="C120" t="s">
        <v>13</v>
      </c>
      <c r="D120" t="s">
        <v>17</v>
      </c>
      <c r="E120">
        <v>12</v>
      </c>
      <c r="F120">
        <v>60</v>
      </c>
      <c r="G120">
        <v>720</v>
      </c>
    </row>
    <row r="121" spans="1:7" x14ac:dyDescent="0.3">
      <c r="A121" s="2">
        <v>45046</v>
      </c>
      <c r="B121" t="s">
        <v>10</v>
      </c>
      <c r="C121" t="s">
        <v>14</v>
      </c>
      <c r="D121" t="s">
        <v>18</v>
      </c>
      <c r="E121">
        <v>3</v>
      </c>
      <c r="F121">
        <v>300</v>
      </c>
      <c r="G121">
        <v>900</v>
      </c>
    </row>
    <row r="122" spans="1:7" x14ac:dyDescent="0.3">
      <c r="A122" s="2">
        <v>45047</v>
      </c>
      <c r="B122" t="s">
        <v>7</v>
      </c>
      <c r="C122" t="s">
        <v>11</v>
      </c>
      <c r="D122" t="s">
        <v>15</v>
      </c>
      <c r="E122">
        <v>5</v>
      </c>
      <c r="F122">
        <v>50000</v>
      </c>
      <c r="G122">
        <v>250000</v>
      </c>
    </row>
    <row r="123" spans="1:7" x14ac:dyDescent="0.3">
      <c r="A123" s="2">
        <v>45048</v>
      </c>
      <c r="B123" t="s">
        <v>8</v>
      </c>
      <c r="C123" t="s">
        <v>12</v>
      </c>
      <c r="D123" t="s">
        <v>16</v>
      </c>
      <c r="E123">
        <v>8</v>
      </c>
      <c r="F123">
        <v>800</v>
      </c>
      <c r="G123">
        <v>6400</v>
      </c>
    </row>
    <row r="124" spans="1:7" x14ac:dyDescent="0.3">
      <c r="A124" s="2">
        <v>45049</v>
      </c>
      <c r="B124" t="s">
        <v>9</v>
      </c>
      <c r="C124" t="s">
        <v>13</v>
      </c>
      <c r="D124" t="s">
        <v>17</v>
      </c>
      <c r="E124">
        <v>12</v>
      </c>
      <c r="F124">
        <v>60</v>
      </c>
      <c r="G124">
        <v>720</v>
      </c>
    </row>
    <row r="125" spans="1:7" x14ac:dyDescent="0.3">
      <c r="A125" s="2">
        <v>45050</v>
      </c>
      <c r="B125" t="s">
        <v>10</v>
      </c>
      <c r="C125" t="s">
        <v>14</v>
      </c>
      <c r="D125" t="s">
        <v>18</v>
      </c>
      <c r="E125">
        <v>3</v>
      </c>
      <c r="F125">
        <v>300</v>
      </c>
      <c r="G125">
        <v>900</v>
      </c>
    </row>
    <row r="126" spans="1:7" x14ac:dyDescent="0.3">
      <c r="A126" s="2">
        <v>45051</v>
      </c>
      <c r="B126" t="s">
        <v>7</v>
      </c>
      <c r="C126" t="s">
        <v>11</v>
      </c>
      <c r="D126" t="s">
        <v>15</v>
      </c>
      <c r="E126">
        <v>5</v>
      </c>
      <c r="F126">
        <v>50000</v>
      </c>
      <c r="G126">
        <v>250000</v>
      </c>
    </row>
    <row r="127" spans="1:7" x14ac:dyDescent="0.3">
      <c r="A127" s="2">
        <v>45052</v>
      </c>
      <c r="B127" t="s">
        <v>8</v>
      </c>
      <c r="C127" t="s">
        <v>12</v>
      </c>
      <c r="D127" t="s">
        <v>16</v>
      </c>
      <c r="E127">
        <v>8</v>
      </c>
      <c r="F127">
        <v>800</v>
      </c>
      <c r="G127">
        <v>6400</v>
      </c>
    </row>
    <row r="128" spans="1:7" x14ac:dyDescent="0.3">
      <c r="A128" s="2">
        <v>45053</v>
      </c>
      <c r="B128" t="s">
        <v>9</v>
      </c>
      <c r="C128" t="s">
        <v>13</v>
      </c>
      <c r="D128" t="s">
        <v>17</v>
      </c>
      <c r="E128">
        <v>12</v>
      </c>
      <c r="F128">
        <v>60</v>
      </c>
      <c r="G128">
        <v>720</v>
      </c>
    </row>
    <row r="129" spans="1:7" x14ac:dyDescent="0.3">
      <c r="A129" s="2">
        <v>45054</v>
      </c>
      <c r="B129" t="s">
        <v>10</v>
      </c>
      <c r="C129" t="s">
        <v>14</v>
      </c>
      <c r="D129" t="s">
        <v>18</v>
      </c>
      <c r="E129">
        <v>3</v>
      </c>
      <c r="F129">
        <v>300</v>
      </c>
      <c r="G129">
        <v>900</v>
      </c>
    </row>
    <row r="130" spans="1:7" x14ac:dyDescent="0.3">
      <c r="A130" s="2">
        <v>45055</v>
      </c>
      <c r="B130" t="s">
        <v>7</v>
      </c>
      <c r="C130" t="s">
        <v>11</v>
      </c>
      <c r="D130" t="s">
        <v>15</v>
      </c>
      <c r="E130">
        <v>5</v>
      </c>
      <c r="F130">
        <v>50000</v>
      </c>
      <c r="G130">
        <v>250000</v>
      </c>
    </row>
    <row r="131" spans="1:7" x14ac:dyDescent="0.3">
      <c r="A131" s="2">
        <v>45056</v>
      </c>
      <c r="B131" t="s">
        <v>8</v>
      </c>
      <c r="C131" t="s">
        <v>12</v>
      </c>
      <c r="D131" t="s">
        <v>16</v>
      </c>
      <c r="E131">
        <v>8</v>
      </c>
      <c r="F131">
        <v>800</v>
      </c>
      <c r="G131">
        <v>6400</v>
      </c>
    </row>
    <row r="132" spans="1:7" x14ac:dyDescent="0.3">
      <c r="A132" s="2">
        <v>45057</v>
      </c>
      <c r="B132" t="s">
        <v>9</v>
      </c>
      <c r="C132" t="s">
        <v>13</v>
      </c>
      <c r="D132" t="s">
        <v>17</v>
      </c>
      <c r="E132">
        <v>12</v>
      </c>
      <c r="F132">
        <v>60</v>
      </c>
      <c r="G132">
        <v>720</v>
      </c>
    </row>
    <row r="133" spans="1:7" x14ac:dyDescent="0.3">
      <c r="A133" s="2">
        <v>45058</v>
      </c>
      <c r="B133" t="s">
        <v>10</v>
      </c>
      <c r="C133" t="s">
        <v>14</v>
      </c>
      <c r="D133" t="s">
        <v>18</v>
      </c>
      <c r="E133">
        <v>3</v>
      </c>
      <c r="F133">
        <v>300</v>
      </c>
      <c r="G133">
        <v>900</v>
      </c>
    </row>
    <row r="134" spans="1:7" x14ac:dyDescent="0.3">
      <c r="A134" s="2">
        <v>45059</v>
      </c>
      <c r="B134" t="s">
        <v>7</v>
      </c>
      <c r="C134" t="s">
        <v>11</v>
      </c>
      <c r="D134" t="s">
        <v>15</v>
      </c>
      <c r="E134">
        <v>5</v>
      </c>
      <c r="F134">
        <v>50000</v>
      </c>
      <c r="G134">
        <v>250000</v>
      </c>
    </row>
    <row r="135" spans="1:7" x14ac:dyDescent="0.3">
      <c r="A135" s="2">
        <v>45060</v>
      </c>
      <c r="B135" t="s">
        <v>8</v>
      </c>
      <c r="C135" t="s">
        <v>12</v>
      </c>
      <c r="D135" t="s">
        <v>16</v>
      </c>
      <c r="E135">
        <v>8</v>
      </c>
      <c r="F135">
        <v>800</v>
      </c>
      <c r="G135">
        <v>6400</v>
      </c>
    </row>
    <row r="136" spans="1:7" x14ac:dyDescent="0.3">
      <c r="A136" s="2">
        <v>45061</v>
      </c>
      <c r="B136" t="s">
        <v>9</v>
      </c>
      <c r="C136" t="s">
        <v>13</v>
      </c>
      <c r="D136" t="s">
        <v>17</v>
      </c>
      <c r="E136">
        <v>12</v>
      </c>
      <c r="F136">
        <v>60</v>
      </c>
      <c r="G136">
        <v>720</v>
      </c>
    </row>
    <row r="137" spans="1:7" x14ac:dyDescent="0.3">
      <c r="A137" s="2">
        <v>45062</v>
      </c>
      <c r="B137" t="s">
        <v>10</v>
      </c>
      <c r="C137" t="s">
        <v>14</v>
      </c>
      <c r="D137" t="s">
        <v>18</v>
      </c>
      <c r="E137">
        <v>3</v>
      </c>
      <c r="F137">
        <v>300</v>
      </c>
      <c r="G137">
        <v>900</v>
      </c>
    </row>
    <row r="138" spans="1:7" x14ac:dyDescent="0.3">
      <c r="A138" s="2">
        <v>45063</v>
      </c>
      <c r="B138" t="s">
        <v>7</v>
      </c>
      <c r="C138" t="s">
        <v>11</v>
      </c>
      <c r="D138" t="s">
        <v>15</v>
      </c>
      <c r="E138">
        <v>5</v>
      </c>
      <c r="F138">
        <v>50000</v>
      </c>
      <c r="G138">
        <v>250000</v>
      </c>
    </row>
    <row r="139" spans="1:7" x14ac:dyDescent="0.3">
      <c r="A139" s="2">
        <v>45064</v>
      </c>
      <c r="B139" t="s">
        <v>8</v>
      </c>
      <c r="C139" t="s">
        <v>12</v>
      </c>
      <c r="D139" t="s">
        <v>16</v>
      </c>
      <c r="E139">
        <v>8</v>
      </c>
      <c r="F139">
        <v>800</v>
      </c>
      <c r="G139">
        <v>6400</v>
      </c>
    </row>
    <row r="140" spans="1:7" x14ac:dyDescent="0.3">
      <c r="A140" s="2">
        <v>45065</v>
      </c>
      <c r="B140" t="s">
        <v>9</v>
      </c>
      <c r="C140" t="s">
        <v>13</v>
      </c>
      <c r="D140" t="s">
        <v>17</v>
      </c>
      <c r="E140">
        <v>12</v>
      </c>
      <c r="F140">
        <v>60</v>
      </c>
      <c r="G140">
        <v>720</v>
      </c>
    </row>
    <row r="141" spans="1:7" x14ac:dyDescent="0.3">
      <c r="A141" s="2">
        <v>45066</v>
      </c>
      <c r="B141" t="s">
        <v>10</v>
      </c>
      <c r="C141" t="s">
        <v>14</v>
      </c>
      <c r="D141" t="s">
        <v>18</v>
      </c>
      <c r="E141">
        <v>3</v>
      </c>
      <c r="F141">
        <v>300</v>
      </c>
      <c r="G141">
        <v>900</v>
      </c>
    </row>
    <row r="142" spans="1:7" x14ac:dyDescent="0.3">
      <c r="A142" s="2">
        <v>45067</v>
      </c>
      <c r="B142" t="s">
        <v>7</v>
      </c>
      <c r="C142" t="s">
        <v>11</v>
      </c>
      <c r="D142" t="s">
        <v>15</v>
      </c>
      <c r="E142">
        <v>5</v>
      </c>
      <c r="F142">
        <v>50000</v>
      </c>
      <c r="G142">
        <v>250000</v>
      </c>
    </row>
    <row r="143" spans="1:7" x14ac:dyDescent="0.3">
      <c r="A143" s="2">
        <v>45068</v>
      </c>
      <c r="B143" t="s">
        <v>8</v>
      </c>
      <c r="C143" t="s">
        <v>12</v>
      </c>
      <c r="D143" t="s">
        <v>16</v>
      </c>
      <c r="E143">
        <v>8</v>
      </c>
      <c r="F143">
        <v>800</v>
      </c>
      <c r="G143">
        <v>6400</v>
      </c>
    </row>
    <row r="144" spans="1:7" x14ac:dyDescent="0.3">
      <c r="A144" s="2">
        <v>45069</v>
      </c>
      <c r="B144" t="s">
        <v>9</v>
      </c>
      <c r="C144" t="s">
        <v>13</v>
      </c>
      <c r="D144" t="s">
        <v>17</v>
      </c>
      <c r="E144">
        <v>12</v>
      </c>
      <c r="F144">
        <v>60</v>
      </c>
      <c r="G144">
        <v>720</v>
      </c>
    </row>
    <row r="145" spans="1:7" x14ac:dyDescent="0.3">
      <c r="A145" s="2">
        <v>45070</v>
      </c>
      <c r="B145" t="s">
        <v>10</v>
      </c>
      <c r="C145" t="s">
        <v>14</v>
      </c>
      <c r="D145" t="s">
        <v>18</v>
      </c>
      <c r="E145">
        <v>3</v>
      </c>
      <c r="F145">
        <v>300</v>
      </c>
      <c r="G145">
        <v>900</v>
      </c>
    </row>
    <row r="146" spans="1:7" x14ac:dyDescent="0.3">
      <c r="A146" s="2">
        <v>45071</v>
      </c>
      <c r="B146" t="s">
        <v>7</v>
      </c>
      <c r="C146" t="s">
        <v>11</v>
      </c>
      <c r="D146" t="s">
        <v>15</v>
      </c>
      <c r="E146">
        <v>5</v>
      </c>
      <c r="F146">
        <v>50000</v>
      </c>
      <c r="G146">
        <v>250000</v>
      </c>
    </row>
    <row r="147" spans="1:7" x14ac:dyDescent="0.3">
      <c r="A147" s="2">
        <v>45072</v>
      </c>
      <c r="B147" t="s">
        <v>8</v>
      </c>
      <c r="C147" t="s">
        <v>12</v>
      </c>
      <c r="D147" t="s">
        <v>16</v>
      </c>
      <c r="E147">
        <v>8</v>
      </c>
      <c r="F147">
        <v>800</v>
      </c>
      <c r="G147">
        <v>6400</v>
      </c>
    </row>
    <row r="148" spans="1:7" x14ac:dyDescent="0.3">
      <c r="A148" s="2">
        <v>45073</v>
      </c>
      <c r="B148" t="s">
        <v>9</v>
      </c>
      <c r="C148" t="s">
        <v>13</v>
      </c>
      <c r="D148" t="s">
        <v>17</v>
      </c>
      <c r="E148">
        <v>12</v>
      </c>
      <c r="F148">
        <v>60</v>
      </c>
      <c r="G148">
        <v>720</v>
      </c>
    </row>
    <row r="149" spans="1:7" x14ac:dyDescent="0.3">
      <c r="A149" s="2">
        <v>45074</v>
      </c>
      <c r="B149" t="s">
        <v>10</v>
      </c>
      <c r="C149" t="s">
        <v>14</v>
      </c>
      <c r="D149" t="s">
        <v>18</v>
      </c>
      <c r="E149">
        <v>3</v>
      </c>
      <c r="F149">
        <v>300</v>
      </c>
      <c r="G149">
        <v>900</v>
      </c>
    </row>
    <row r="150" spans="1:7" x14ac:dyDescent="0.3">
      <c r="A150" s="2">
        <v>45075</v>
      </c>
      <c r="B150" t="s">
        <v>7</v>
      </c>
      <c r="C150" t="s">
        <v>11</v>
      </c>
      <c r="D150" t="s">
        <v>15</v>
      </c>
      <c r="E150">
        <v>5</v>
      </c>
      <c r="F150">
        <v>50000</v>
      </c>
      <c r="G150">
        <v>250000</v>
      </c>
    </row>
    <row r="151" spans="1:7" x14ac:dyDescent="0.3">
      <c r="A151" s="2">
        <v>45076</v>
      </c>
      <c r="B151" t="s">
        <v>8</v>
      </c>
      <c r="C151" t="s">
        <v>12</v>
      </c>
      <c r="D151" t="s">
        <v>16</v>
      </c>
      <c r="E151">
        <v>8</v>
      </c>
      <c r="F151">
        <v>800</v>
      </c>
      <c r="G151">
        <v>6400</v>
      </c>
    </row>
    <row r="152" spans="1:7" x14ac:dyDescent="0.3">
      <c r="A152" s="2">
        <v>45077</v>
      </c>
      <c r="B152" t="s">
        <v>9</v>
      </c>
      <c r="C152" t="s">
        <v>13</v>
      </c>
      <c r="D152" t="s">
        <v>17</v>
      </c>
      <c r="E152">
        <v>12</v>
      </c>
      <c r="F152">
        <v>60</v>
      </c>
      <c r="G152">
        <v>720</v>
      </c>
    </row>
    <row r="153" spans="1:7" x14ac:dyDescent="0.3">
      <c r="A153" s="2">
        <v>45078</v>
      </c>
      <c r="B153" t="s">
        <v>10</v>
      </c>
      <c r="C153" t="s">
        <v>14</v>
      </c>
      <c r="D153" t="s">
        <v>18</v>
      </c>
      <c r="E153">
        <v>3</v>
      </c>
      <c r="F153">
        <v>300</v>
      </c>
      <c r="G153">
        <v>900</v>
      </c>
    </row>
    <row r="154" spans="1:7" x14ac:dyDescent="0.3">
      <c r="A154" s="2">
        <v>45079</v>
      </c>
      <c r="B154" t="s">
        <v>7</v>
      </c>
      <c r="C154" t="s">
        <v>11</v>
      </c>
      <c r="D154" t="s">
        <v>15</v>
      </c>
      <c r="E154">
        <v>5</v>
      </c>
      <c r="F154">
        <v>50000</v>
      </c>
      <c r="G154">
        <v>250000</v>
      </c>
    </row>
    <row r="155" spans="1:7" x14ac:dyDescent="0.3">
      <c r="A155" s="2">
        <v>45080</v>
      </c>
      <c r="B155" t="s">
        <v>8</v>
      </c>
      <c r="C155" t="s">
        <v>12</v>
      </c>
      <c r="D155" t="s">
        <v>16</v>
      </c>
      <c r="E155">
        <v>8</v>
      </c>
      <c r="F155">
        <v>800</v>
      </c>
      <c r="G155">
        <v>6400</v>
      </c>
    </row>
    <row r="156" spans="1:7" x14ac:dyDescent="0.3">
      <c r="A156" s="2">
        <v>45081</v>
      </c>
      <c r="B156" t="s">
        <v>9</v>
      </c>
      <c r="C156" t="s">
        <v>13</v>
      </c>
      <c r="D156" t="s">
        <v>17</v>
      </c>
      <c r="E156">
        <v>12</v>
      </c>
      <c r="F156">
        <v>60</v>
      </c>
      <c r="G156">
        <v>720</v>
      </c>
    </row>
    <row r="157" spans="1:7" x14ac:dyDescent="0.3">
      <c r="A157" s="2">
        <v>45082</v>
      </c>
      <c r="B157" t="s">
        <v>10</v>
      </c>
      <c r="C157" t="s">
        <v>14</v>
      </c>
      <c r="D157" t="s">
        <v>18</v>
      </c>
      <c r="E157">
        <v>3</v>
      </c>
      <c r="F157">
        <v>300</v>
      </c>
      <c r="G157">
        <v>900</v>
      </c>
    </row>
    <row r="158" spans="1:7" x14ac:dyDescent="0.3">
      <c r="A158" s="2">
        <v>45083</v>
      </c>
      <c r="B158" t="s">
        <v>7</v>
      </c>
      <c r="C158" t="s">
        <v>11</v>
      </c>
      <c r="D158" t="s">
        <v>15</v>
      </c>
      <c r="E158">
        <v>5</v>
      </c>
      <c r="F158">
        <v>50000</v>
      </c>
      <c r="G158">
        <v>250000</v>
      </c>
    </row>
    <row r="159" spans="1:7" x14ac:dyDescent="0.3">
      <c r="A159" s="2">
        <v>45084</v>
      </c>
      <c r="B159" t="s">
        <v>8</v>
      </c>
      <c r="C159" t="s">
        <v>12</v>
      </c>
      <c r="D159" t="s">
        <v>16</v>
      </c>
      <c r="E159">
        <v>8</v>
      </c>
      <c r="F159">
        <v>800</v>
      </c>
      <c r="G159">
        <v>6400</v>
      </c>
    </row>
    <row r="160" spans="1:7" x14ac:dyDescent="0.3">
      <c r="A160" s="2">
        <v>45085</v>
      </c>
      <c r="B160" t="s">
        <v>9</v>
      </c>
      <c r="C160" t="s">
        <v>13</v>
      </c>
      <c r="D160" t="s">
        <v>17</v>
      </c>
      <c r="E160">
        <v>12</v>
      </c>
      <c r="F160">
        <v>60</v>
      </c>
      <c r="G160">
        <v>720</v>
      </c>
    </row>
    <row r="161" spans="1:7" x14ac:dyDescent="0.3">
      <c r="A161" s="2">
        <v>45086</v>
      </c>
      <c r="B161" t="s">
        <v>10</v>
      </c>
      <c r="C161" t="s">
        <v>14</v>
      </c>
      <c r="D161" t="s">
        <v>18</v>
      </c>
      <c r="E161">
        <v>3</v>
      </c>
      <c r="F161">
        <v>300</v>
      </c>
      <c r="G161">
        <v>900</v>
      </c>
    </row>
    <row r="162" spans="1:7" x14ac:dyDescent="0.3">
      <c r="A162" s="2">
        <v>45087</v>
      </c>
      <c r="B162" t="s">
        <v>7</v>
      </c>
      <c r="C162" t="s">
        <v>11</v>
      </c>
      <c r="D162" t="s">
        <v>15</v>
      </c>
      <c r="E162">
        <v>5</v>
      </c>
      <c r="F162">
        <v>50000</v>
      </c>
      <c r="G162">
        <v>250000</v>
      </c>
    </row>
    <row r="163" spans="1:7" x14ac:dyDescent="0.3">
      <c r="A163" s="2">
        <v>45088</v>
      </c>
      <c r="B163" t="s">
        <v>8</v>
      </c>
      <c r="C163" t="s">
        <v>12</v>
      </c>
      <c r="D163" t="s">
        <v>16</v>
      </c>
      <c r="E163">
        <v>8</v>
      </c>
      <c r="F163">
        <v>800</v>
      </c>
      <c r="G163">
        <v>6400</v>
      </c>
    </row>
    <row r="164" spans="1:7" x14ac:dyDescent="0.3">
      <c r="A164" s="2">
        <v>45089</v>
      </c>
      <c r="B164" t="s">
        <v>9</v>
      </c>
      <c r="C164" t="s">
        <v>13</v>
      </c>
      <c r="D164" t="s">
        <v>17</v>
      </c>
      <c r="E164">
        <v>12</v>
      </c>
      <c r="F164">
        <v>60</v>
      </c>
      <c r="G164">
        <v>720</v>
      </c>
    </row>
    <row r="165" spans="1:7" x14ac:dyDescent="0.3">
      <c r="A165" s="2">
        <v>45090</v>
      </c>
      <c r="B165" t="s">
        <v>10</v>
      </c>
      <c r="C165" t="s">
        <v>14</v>
      </c>
      <c r="D165" t="s">
        <v>18</v>
      </c>
      <c r="E165">
        <v>3</v>
      </c>
      <c r="F165">
        <v>300</v>
      </c>
      <c r="G165">
        <v>900</v>
      </c>
    </row>
    <row r="166" spans="1:7" x14ac:dyDescent="0.3">
      <c r="A166" s="2">
        <v>45091</v>
      </c>
      <c r="B166" t="s">
        <v>7</v>
      </c>
      <c r="C166" t="s">
        <v>11</v>
      </c>
      <c r="D166" t="s">
        <v>15</v>
      </c>
      <c r="E166">
        <v>5</v>
      </c>
      <c r="F166">
        <v>50000</v>
      </c>
      <c r="G166">
        <v>250000</v>
      </c>
    </row>
    <row r="167" spans="1:7" x14ac:dyDescent="0.3">
      <c r="A167" s="2">
        <v>45092</v>
      </c>
      <c r="B167" t="s">
        <v>8</v>
      </c>
      <c r="C167" t="s">
        <v>12</v>
      </c>
      <c r="D167" t="s">
        <v>16</v>
      </c>
      <c r="E167">
        <v>8</v>
      </c>
      <c r="F167">
        <v>800</v>
      </c>
      <c r="G167">
        <v>6400</v>
      </c>
    </row>
    <row r="168" spans="1:7" x14ac:dyDescent="0.3">
      <c r="A168" s="2">
        <v>45093</v>
      </c>
      <c r="B168" t="s">
        <v>9</v>
      </c>
      <c r="C168" t="s">
        <v>13</v>
      </c>
      <c r="D168" t="s">
        <v>17</v>
      </c>
      <c r="E168">
        <v>12</v>
      </c>
      <c r="F168">
        <v>60</v>
      </c>
      <c r="G168">
        <v>720</v>
      </c>
    </row>
    <row r="169" spans="1:7" x14ac:dyDescent="0.3">
      <c r="A169" s="2">
        <v>45094</v>
      </c>
      <c r="B169" t="s">
        <v>10</v>
      </c>
      <c r="C169" t="s">
        <v>14</v>
      </c>
      <c r="D169" t="s">
        <v>18</v>
      </c>
      <c r="E169">
        <v>3</v>
      </c>
      <c r="F169">
        <v>300</v>
      </c>
      <c r="G169">
        <v>900</v>
      </c>
    </row>
    <row r="170" spans="1:7" x14ac:dyDescent="0.3">
      <c r="A170" s="2">
        <v>45095</v>
      </c>
      <c r="B170" t="s">
        <v>7</v>
      </c>
      <c r="C170" t="s">
        <v>11</v>
      </c>
      <c r="D170" t="s">
        <v>15</v>
      </c>
      <c r="E170">
        <v>5</v>
      </c>
      <c r="F170">
        <v>50000</v>
      </c>
      <c r="G170">
        <v>250000</v>
      </c>
    </row>
    <row r="171" spans="1:7" x14ac:dyDescent="0.3">
      <c r="A171" s="2">
        <v>45096</v>
      </c>
      <c r="B171" t="s">
        <v>8</v>
      </c>
      <c r="C171" t="s">
        <v>12</v>
      </c>
      <c r="D171" t="s">
        <v>16</v>
      </c>
      <c r="E171">
        <v>8</v>
      </c>
      <c r="F171">
        <v>800</v>
      </c>
      <c r="G171">
        <v>6400</v>
      </c>
    </row>
    <row r="172" spans="1:7" x14ac:dyDescent="0.3">
      <c r="A172" s="2">
        <v>45097</v>
      </c>
      <c r="B172" t="s">
        <v>9</v>
      </c>
      <c r="C172" t="s">
        <v>13</v>
      </c>
      <c r="D172" t="s">
        <v>17</v>
      </c>
      <c r="E172">
        <v>12</v>
      </c>
      <c r="F172">
        <v>60</v>
      </c>
      <c r="G172">
        <v>720</v>
      </c>
    </row>
    <row r="173" spans="1:7" x14ac:dyDescent="0.3">
      <c r="A173" s="2">
        <v>45098</v>
      </c>
      <c r="B173" t="s">
        <v>10</v>
      </c>
      <c r="C173" t="s">
        <v>14</v>
      </c>
      <c r="D173" t="s">
        <v>18</v>
      </c>
      <c r="E173">
        <v>3</v>
      </c>
      <c r="F173">
        <v>300</v>
      </c>
      <c r="G173">
        <v>900</v>
      </c>
    </row>
    <row r="174" spans="1:7" x14ac:dyDescent="0.3">
      <c r="A174" s="2">
        <v>45099</v>
      </c>
      <c r="B174" t="s">
        <v>7</v>
      </c>
      <c r="C174" t="s">
        <v>11</v>
      </c>
      <c r="D174" t="s">
        <v>15</v>
      </c>
      <c r="E174">
        <v>5</v>
      </c>
      <c r="F174">
        <v>50000</v>
      </c>
      <c r="G174">
        <v>250000</v>
      </c>
    </row>
    <row r="175" spans="1:7" x14ac:dyDescent="0.3">
      <c r="A175" s="2">
        <v>45100</v>
      </c>
      <c r="B175" t="s">
        <v>8</v>
      </c>
      <c r="C175" t="s">
        <v>12</v>
      </c>
      <c r="D175" t="s">
        <v>16</v>
      </c>
      <c r="E175">
        <v>8</v>
      </c>
      <c r="F175">
        <v>800</v>
      </c>
      <c r="G175">
        <v>6400</v>
      </c>
    </row>
    <row r="176" spans="1:7" x14ac:dyDescent="0.3">
      <c r="A176" s="2">
        <v>45101</v>
      </c>
      <c r="B176" t="s">
        <v>9</v>
      </c>
      <c r="C176" t="s">
        <v>13</v>
      </c>
      <c r="D176" t="s">
        <v>17</v>
      </c>
      <c r="E176">
        <v>12</v>
      </c>
      <c r="F176">
        <v>60</v>
      </c>
      <c r="G176">
        <v>720</v>
      </c>
    </row>
    <row r="177" spans="1:7" x14ac:dyDescent="0.3">
      <c r="A177" s="2">
        <v>45102</v>
      </c>
      <c r="B177" t="s">
        <v>10</v>
      </c>
      <c r="C177" t="s">
        <v>14</v>
      </c>
      <c r="D177" t="s">
        <v>18</v>
      </c>
      <c r="E177">
        <v>3</v>
      </c>
      <c r="F177">
        <v>300</v>
      </c>
      <c r="G177">
        <v>900</v>
      </c>
    </row>
    <row r="178" spans="1:7" x14ac:dyDescent="0.3">
      <c r="A178" s="2">
        <v>45103</v>
      </c>
      <c r="B178" t="s">
        <v>7</v>
      </c>
      <c r="C178" t="s">
        <v>11</v>
      </c>
      <c r="D178" t="s">
        <v>15</v>
      </c>
      <c r="E178">
        <v>5</v>
      </c>
      <c r="F178">
        <v>50000</v>
      </c>
      <c r="G178">
        <v>250000</v>
      </c>
    </row>
    <row r="179" spans="1:7" x14ac:dyDescent="0.3">
      <c r="A179" s="2">
        <v>45104</v>
      </c>
      <c r="B179" t="s">
        <v>8</v>
      </c>
      <c r="C179" t="s">
        <v>12</v>
      </c>
      <c r="D179" t="s">
        <v>16</v>
      </c>
      <c r="E179">
        <v>8</v>
      </c>
      <c r="F179">
        <v>800</v>
      </c>
      <c r="G179">
        <v>6400</v>
      </c>
    </row>
    <row r="180" spans="1:7" x14ac:dyDescent="0.3">
      <c r="A180" s="2">
        <v>45105</v>
      </c>
      <c r="B180" t="s">
        <v>9</v>
      </c>
      <c r="C180" t="s">
        <v>13</v>
      </c>
      <c r="D180" t="s">
        <v>17</v>
      </c>
      <c r="E180">
        <v>12</v>
      </c>
      <c r="F180">
        <v>60</v>
      </c>
      <c r="G180">
        <v>720</v>
      </c>
    </row>
    <row r="181" spans="1:7" x14ac:dyDescent="0.3">
      <c r="A181" s="2">
        <v>45106</v>
      </c>
      <c r="B181" t="s">
        <v>10</v>
      </c>
      <c r="C181" t="s">
        <v>14</v>
      </c>
      <c r="D181" t="s">
        <v>18</v>
      </c>
      <c r="E181">
        <v>3</v>
      </c>
      <c r="F181">
        <v>300</v>
      </c>
      <c r="G181">
        <v>900</v>
      </c>
    </row>
    <row r="182" spans="1:7" x14ac:dyDescent="0.3">
      <c r="A182" s="2">
        <v>45107</v>
      </c>
      <c r="B182" t="s">
        <v>7</v>
      </c>
      <c r="C182" t="s">
        <v>11</v>
      </c>
      <c r="D182" t="s">
        <v>15</v>
      </c>
      <c r="E182">
        <v>5</v>
      </c>
      <c r="F182">
        <v>50000</v>
      </c>
      <c r="G182">
        <v>250000</v>
      </c>
    </row>
    <row r="183" spans="1:7" x14ac:dyDescent="0.3">
      <c r="A183" s="2">
        <v>45108</v>
      </c>
      <c r="B183" t="s">
        <v>8</v>
      </c>
      <c r="C183" t="s">
        <v>12</v>
      </c>
      <c r="D183" t="s">
        <v>16</v>
      </c>
      <c r="E183">
        <v>8</v>
      </c>
      <c r="F183">
        <v>800</v>
      </c>
      <c r="G183">
        <v>6400</v>
      </c>
    </row>
    <row r="184" spans="1:7" x14ac:dyDescent="0.3">
      <c r="A184" s="2">
        <v>45109</v>
      </c>
      <c r="B184" t="s">
        <v>9</v>
      </c>
      <c r="C184" t="s">
        <v>13</v>
      </c>
      <c r="D184" t="s">
        <v>17</v>
      </c>
      <c r="E184">
        <v>12</v>
      </c>
      <c r="F184">
        <v>60</v>
      </c>
      <c r="G184">
        <v>720</v>
      </c>
    </row>
    <row r="185" spans="1:7" x14ac:dyDescent="0.3">
      <c r="A185" s="2">
        <v>45110</v>
      </c>
      <c r="B185" t="s">
        <v>10</v>
      </c>
      <c r="C185" t="s">
        <v>14</v>
      </c>
      <c r="D185" t="s">
        <v>18</v>
      </c>
      <c r="E185">
        <v>3</v>
      </c>
      <c r="F185">
        <v>300</v>
      </c>
      <c r="G185">
        <v>900</v>
      </c>
    </row>
    <row r="186" spans="1:7" x14ac:dyDescent="0.3">
      <c r="A186" s="2">
        <v>45111</v>
      </c>
      <c r="B186" t="s">
        <v>7</v>
      </c>
      <c r="C186" t="s">
        <v>11</v>
      </c>
      <c r="D186" t="s">
        <v>15</v>
      </c>
      <c r="E186">
        <v>5</v>
      </c>
      <c r="F186">
        <v>50000</v>
      </c>
      <c r="G186">
        <v>250000</v>
      </c>
    </row>
    <row r="187" spans="1:7" x14ac:dyDescent="0.3">
      <c r="A187" s="2">
        <v>45112</v>
      </c>
      <c r="B187" t="s">
        <v>8</v>
      </c>
      <c r="C187" t="s">
        <v>12</v>
      </c>
      <c r="D187" t="s">
        <v>16</v>
      </c>
      <c r="E187">
        <v>8</v>
      </c>
      <c r="F187">
        <v>800</v>
      </c>
      <c r="G187">
        <v>6400</v>
      </c>
    </row>
    <row r="188" spans="1:7" x14ac:dyDescent="0.3">
      <c r="A188" s="2">
        <v>45113</v>
      </c>
      <c r="B188" t="s">
        <v>9</v>
      </c>
      <c r="C188" t="s">
        <v>13</v>
      </c>
      <c r="D188" t="s">
        <v>17</v>
      </c>
      <c r="E188">
        <v>12</v>
      </c>
      <c r="F188">
        <v>60</v>
      </c>
      <c r="G188">
        <v>720</v>
      </c>
    </row>
    <row r="189" spans="1:7" x14ac:dyDescent="0.3">
      <c r="A189" s="2">
        <v>45114</v>
      </c>
      <c r="B189" t="s">
        <v>10</v>
      </c>
      <c r="C189" t="s">
        <v>14</v>
      </c>
      <c r="D189" t="s">
        <v>18</v>
      </c>
      <c r="E189">
        <v>3</v>
      </c>
      <c r="F189">
        <v>300</v>
      </c>
      <c r="G189">
        <v>900</v>
      </c>
    </row>
    <row r="190" spans="1:7" x14ac:dyDescent="0.3">
      <c r="A190" s="2">
        <v>45115</v>
      </c>
      <c r="B190" t="s">
        <v>7</v>
      </c>
      <c r="C190" t="s">
        <v>11</v>
      </c>
      <c r="D190" t="s">
        <v>15</v>
      </c>
      <c r="E190">
        <v>5</v>
      </c>
      <c r="F190">
        <v>50000</v>
      </c>
      <c r="G190">
        <v>250000</v>
      </c>
    </row>
    <row r="191" spans="1:7" x14ac:dyDescent="0.3">
      <c r="A191" s="2">
        <v>45116</v>
      </c>
      <c r="B191" t="s">
        <v>8</v>
      </c>
      <c r="C191" t="s">
        <v>12</v>
      </c>
      <c r="D191" t="s">
        <v>16</v>
      </c>
      <c r="E191">
        <v>8</v>
      </c>
      <c r="F191">
        <v>800</v>
      </c>
      <c r="G191">
        <v>6400</v>
      </c>
    </row>
    <row r="192" spans="1:7" x14ac:dyDescent="0.3">
      <c r="A192" s="2">
        <v>45117</v>
      </c>
      <c r="B192" t="s">
        <v>9</v>
      </c>
      <c r="C192" t="s">
        <v>13</v>
      </c>
      <c r="D192" t="s">
        <v>17</v>
      </c>
      <c r="E192">
        <v>12</v>
      </c>
      <c r="F192">
        <v>60</v>
      </c>
      <c r="G192">
        <v>720</v>
      </c>
    </row>
    <row r="193" spans="1:7" x14ac:dyDescent="0.3">
      <c r="A193" s="2">
        <v>45118</v>
      </c>
      <c r="B193" t="s">
        <v>10</v>
      </c>
      <c r="C193" t="s">
        <v>14</v>
      </c>
      <c r="D193" t="s">
        <v>18</v>
      </c>
      <c r="E193">
        <v>3</v>
      </c>
      <c r="F193">
        <v>300</v>
      </c>
      <c r="G193">
        <v>900</v>
      </c>
    </row>
    <row r="194" spans="1:7" x14ac:dyDescent="0.3">
      <c r="A194" s="2">
        <v>45119</v>
      </c>
      <c r="B194" t="s">
        <v>7</v>
      </c>
      <c r="C194" t="s">
        <v>11</v>
      </c>
      <c r="D194" t="s">
        <v>15</v>
      </c>
      <c r="E194">
        <v>5</v>
      </c>
      <c r="F194">
        <v>50000</v>
      </c>
      <c r="G194">
        <v>250000</v>
      </c>
    </row>
    <row r="195" spans="1:7" x14ac:dyDescent="0.3">
      <c r="A195" s="2">
        <v>45120</v>
      </c>
      <c r="B195" t="s">
        <v>8</v>
      </c>
      <c r="C195" t="s">
        <v>12</v>
      </c>
      <c r="D195" t="s">
        <v>16</v>
      </c>
      <c r="E195">
        <v>8</v>
      </c>
      <c r="F195">
        <v>800</v>
      </c>
      <c r="G195">
        <v>6400</v>
      </c>
    </row>
    <row r="196" spans="1:7" x14ac:dyDescent="0.3">
      <c r="A196" s="2">
        <v>45121</v>
      </c>
      <c r="B196" t="s">
        <v>9</v>
      </c>
      <c r="C196" t="s">
        <v>13</v>
      </c>
      <c r="D196" t="s">
        <v>17</v>
      </c>
      <c r="E196">
        <v>12</v>
      </c>
      <c r="F196">
        <v>60</v>
      </c>
      <c r="G196">
        <v>720</v>
      </c>
    </row>
    <row r="197" spans="1:7" x14ac:dyDescent="0.3">
      <c r="A197" s="2">
        <v>45122</v>
      </c>
      <c r="B197" t="s">
        <v>10</v>
      </c>
      <c r="C197" t="s">
        <v>14</v>
      </c>
      <c r="D197" t="s">
        <v>18</v>
      </c>
      <c r="E197">
        <v>3</v>
      </c>
      <c r="F197">
        <v>300</v>
      </c>
      <c r="G197">
        <v>900</v>
      </c>
    </row>
    <row r="198" spans="1:7" x14ac:dyDescent="0.3">
      <c r="A198" s="2">
        <v>45123</v>
      </c>
      <c r="B198" t="s">
        <v>7</v>
      </c>
      <c r="C198" t="s">
        <v>11</v>
      </c>
      <c r="D198" t="s">
        <v>15</v>
      </c>
      <c r="E198">
        <v>5</v>
      </c>
      <c r="F198">
        <v>50000</v>
      </c>
      <c r="G198">
        <v>250000</v>
      </c>
    </row>
    <row r="199" spans="1:7" x14ac:dyDescent="0.3">
      <c r="A199" s="2">
        <v>45124</v>
      </c>
      <c r="B199" t="s">
        <v>8</v>
      </c>
      <c r="C199" t="s">
        <v>12</v>
      </c>
      <c r="D199" t="s">
        <v>16</v>
      </c>
      <c r="E199">
        <v>8</v>
      </c>
      <c r="F199">
        <v>800</v>
      </c>
      <c r="G199">
        <v>6400</v>
      </c>
    </row>
    <row r="200" spans="1:7" x14ac:dyDescent="0.3">
      <c r="A200" s="2">
        <v>45125</v>
      </c>
      <c r="B200" t="s">
        <v>9</v>
      </c>
      <c r="C200" t="s">
        <v>13</v>
      </c>
      <c r="D200" t="s">
        <v>17</v>
      </c>
      <c r="E200">
        <v>12</v>
      </c>
      <c r="F200">
        <v>60</v>
      </c>
      <c r="G200">
        <v>720</v>
      </c>
    </row>
    <row r="201" spans="1:7" x14ac:dyDescent="0.3">
      <c r="A201" s="2">
        <v>45126</v>
      </c>
      <c r="B201" t="s">
        <v>10</v>
      </c>
      <c r="C201" t="s">
        <v>14</v>
      </c>
      <c r="D201" t="s">
        <v>18</v>
      </c>
      <c r="E201">
        <v>3</v>
      </c>
      <c r="F201">
        <v>300</v>
      </c>
      <c r="G201">
        <v>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FBA2-9848-48E8-8CCB-9FF34323E601}">
  <dimension ref="A1:H202"/>
  <sheetViews>
    <sheetView topLeftCell="A177" workbookViewId="0">
      <selection activeCell="I201" sqref="I201"/>
    </sheetView>
  </sheetViews>
  <sheetFormatPr defaultRowHeight="14.4" x14ac:dyDescent="0.3"/>
  <cols>
    <col min="1" max="1" width="9.5546875" style="3" bestFit="1" customWidth="1"/>
    <col min="2" max="2" width="6.77734375" bestFit="1" customWidth="1"/>
    <col min="3" max="3" width="11.21875" bestFit="1" customWidth="1"/>
    <col min="4" max="4" width="7.6640625" bestFit="1" customWidth="1"/>
    <col min="5" max="5" width="10" bestFit="1" customWidth="1"/>
    <col min="6" max="6" width="12.5546875" bestFit="1" customWidth="1"/>
    <col min="7" max="7" width="13.6640625" bestFit="1" customWidth="1"/>
    <col min="8" max="8" width="12.5546875" bestFit="1" customWidth="1"/>
    <col min="13" max="13" width="16.88671875" bestFit="1" customWidth="1"/>
  </cols>
  <sheetData>
    <row r="1" spans="1:8" x14ac:dyDescent="0.3">
      <c r="A1" s="4" t="s">
        <v>0</v>
      </c>
      <c r="B1" s="1" t="s">
        <v>1</v>
      </c>
      <c r="C1" s="1" t="s">
        <v>2</v>
      </c>
      <c r="D1" s="1" t="s">
        <v>3</v>
      </c>
      <c r="E1" s="1" t="s">
        <v>4</v>
      </c>
      <c r="F1" s="1" t="s">
        <v>5</v>
      </c>
      <c r="G1" s="1" t="s">
        <v>6</v>
      </c>
      <c r="H1" s="1" t="s">
        <v>19</v>
      </c>
    </row>
    <row r="2" spans="1:8" x14ac:dyDescent="0.3">
      <c r="A2" s="3">
        <v>44930</v>
      </c>
      <c r="B2" t="s">
        <v>10</v>
      </c>
      <c r="C2" t="s">
        <v>14</v>
      </c>
      <c r="D2" t="s">
        <v>18</v>
      </c>
      <c r="E2">
        <v>3</v>
      </c>
      <c r="F2">
        <v>300</v>
      </c>
      <c r="G2">
        <v>900</v>
      </c>
      <c r="H2">
        <f t="shared" ref="H2:H33" si="0">G2*0.2</f>
        <v>180</v>
      </c>
    </row>
    <row r="3" spans="1:8" x14ac:dyDescent="0.3">
      <c r="A3" s="3">
        <v>44934</v>
      </c>
      <c r="B3" t="s">
        <v>10</v>
      </c>
      <c r="C3" t="s">
        <v>14</v>
      </c>
      <c r="D3" t="s">
        <v>18</v>
      </c>
      <c r="E3">
        <v>3</v>
      </c>
      <c r="F3">
        <v>300</v>
      </c>
      <c r="G3">
        <v>900</v>
      </c>
      <c r="H3">
        <f t="shared" si="0"/>
        <v>180</v>
      </c>
    </row>
    <row r="4" spans="1:8" x14ac:dyDescent="0.3">
      <c r="A4" s="3">
        <v>44938</v>
      </c>
      <c r="B4" t="s">
        <v>10</v>
      </c>
      <c r="C4" t="s">
        <v>14</v>
      </c>
      <c r="D4" t="s">
        <v>18</v>
      </c>
      <c r="E4">
        <v>3</v>
      </c>
      <c r="F4">
        <v>300</v>
      </c>
      <c r="G4">
        <v>900</v>
      </c>
      <c r="H4">
        <f t="shared" si="0"/>
        <v>180</v>
      </c>
    </row>
    <row r="5" spans="1:8" x14ac:dyDescent="0.3">
      <c r="A5" s="3">
        <v>44942</v>
      </c>
      <c r="B5" t="s">
        <v>10</v>
      </c>
      <c r="C5" t="s">
        <v>14</v>
      </c>
      <c r="D5" t="s">
        <v>18</v>
      </c>
      <c r="E5">
        <v>3</v>
      </c>
      <c r="F5">
        <v>300</v>
      </c>
      <c r="G5">
        <v>900</v>
      </c>
      <c r="H5">
        <f t="shared" si="0"/>
        <v>180</v>
      </c>
    </row>
    <row r="6" spans="1:8" x14ac:dyDescent="0.3">
      <c r="A6" s="3">
        <v>44946</v>
      </c>
      <c r="B6" t="s">
        <v>10</v>
      </c>
      <c r="C6" t="s">
        <v>14</v>
      </c>
      <c r="D6" t="s">
        <v>18</v>
      </c>
      <c r="E6">
        <v>3</v>
      </c>
      <c r="F6">
        <v>300</v>
      </c>
      <c r="G6">
        <v>900</v>
      </c>
      <c r="H6">
        <f t="shared" si="0"/>
        <v>180</v>
      </c>
    </row>
    <row r="7" spans="1:8" x14ac:dyDescent="0.3">
      <c r="A7" s="3">
        <v>44950</v>
      </c>
      <c r="B7" t="s">
        <v>10</v>
      </c>
      <c r="C7" t="s">
        <v>14</v>
      </c>
      <c r="D7" t="s">
        <v>18</v>
      </c>
      <c r="E7">
        <v>3</v>
      </c>
      <c r="F7">
        <v>300</v>
      </c>
      <c r="G7">
        <v>900</v>
      </c>
      <c r="H7">
        <f t="shared" si="0"/>
        <v>180</v>
      </c>
    </row>
    <row r="8" spans="1:8" x14ac:dyDescent="0.3">
      <c r="A8" s="3">
        <v>44954</v>
      </c>
      <c r="B8" t="s">
        <v>10</v>
      </c>
      <c r="C8" t="s">
        <v>14</v>
      </c>
      <c r="D8" t="s">
        <v>18</v>
      </c>
      <c r="E8">
        <v>3</v>
      </c>
      <c r="F8">
        <v>300</v>
      </c>
      <c r="G8">
        <v>900</v>
      </c>
      <c r="H8">
        <f t="shared" si="0"/>
        <v>180</v>
      </c>
    </row>
    <row r="9" spans="1:8" x14ac:dyDescent="0.3">
      <c r="A9" s="3">
        <v>44958</v>
      </c>
      <c r="B9" t="s">
        <v>10</v>
      </c>
      <c r="C9" t="s">
        <v>14</v>
      </c>
      <c r="D9" t="s">
        <v>18</v>
      </c>
      <c r="E9">
        <v>3</v>
      </c>
      <c r="F9">
        <v>300</v>
      </c>
      <c r="G9">
        <v>900</v>
      </c>
      <c r="H9">
        <f t="shared" si="0"/>
        <v>180</v>
      </c>
    </row>
    <row r="10" spans="1:8" x14ac:dyDescent="0.3">
      <c r="A10" s="3">
        <v>44962</v>
      </c>
      <c r="B10" t="s">
        <v>10</v>
      </c>
      <c r="C10" t="s">
        <v>14</v>
      </c>
      <c r="D10" t="s">
        <v>18</v>
      </c>
      <c r="E10">
        <v>3</v>
      </c>
      <c r="F10">
        <v>300</v>
      </c>
      <c r="G10">
        <v>900</v>
      </c>
      <c r="H10">
        <f t="shared" si="0"/>
        <v>180</v>
      </c>
    </row>
    <row r="11" spans="1:8" x14ac:dyDescent="0.3">
      <c r="A11" s="3">
        <v>44966</v>
      </c>
      <c r="B11" t="s">
        <v>10</v>
      </c>
      <c r="C11" t="s">
        <v>14</v>
      </c>
      <c r="D11" t="s">
        <v>18</v>
      </c>
      <c r="E11">
        <v>3</v>
      </c>
      <c r="F11">
        <v>300</v>
      </c>
      <c r="G11">
        <v>900</v>
      </c>
      <c r="H11">
        <f t="shared" si="0"/>
        <v>180</v>
      </c>
    </row>
    <row r="12" spans="1:8" x14ac:dyDescent="0.3">
      <c r="A12" s="3">
        <v>44970</v>
      </c>
      <c r="B12" t="s">
        <v>10</v>
      </c>
      <c r="C12" t="s">
        <v>14</v>
      </c>
      <c r="D12" t="s">
        <v>18</v>
      </c>
      <c r="E12">
        <v>3</v>
      </c>
      <c r="F12">
        <v>300</v>
      </c>
      <c r="G12">
        <v>900</v>
      </c>
      <c r="H12">
        <f t="shared" si="0"/>
        <v>180</v>
      </c>
    </row>
    <row r="13" spans="1:8" x14ac:dyDescent="0.3">
      <c r="A13" s="3">
        <v>44974</v>
      </c>
      <c r="B13" t="s">
        <v>10</v>
      </c>
      <c r="C13" t="s">
        <v>14</v>
      </c>
      <c r="D13" t="s">
        <v>18</v>
      </c>
      <c r="E13">
        <v>3</v>
      </c>
      <c r="F13">
        <v>300</v>
      </c>
      <c r="G13">
        <v>900</v>
      </c>
      <c r="H13">
        <f t="shared" si="0"/>
        <v>180</v>
      </c>
    </row>
    <row r="14" spans="1:8" x14ac:dyDescent="0.3">
      <c r="A14" s="3">
        <v>44978</v>
      </c>
      <c r="B14" t="s">
        <v>10</v>
      </c>
      <c r="C14" t="s">
        <v>14</v>
      </c>
      <c r="D14" t="s">
        <v>18</v>
      </c>
      <c r="E14">
        <v>3</v>
      </c>
      <c r="F14">
        <v>300</v>
      </c>
      <c r="G14">
        <v>900</v>
      </c>
      <c r="H14">
        <f t="shared" si="0"/>
        <v>180</v>
      </c>
    </row>
    <row r="15" spans="1:8" x14ac:dyDescent="0.3">
      <c r="A15" s="3">
        <v>44982</v>
      </c>
      <c r="B15" t="s">
        <v>10</v>
      </c>
      <c r="C15" t="s">
        <v>14</v>
      </c>
      <c r="D15" t="s">
        <v>18</v>
      </c>
      <c r="E15">
        <v>3</v>
      </c>
      <c r="F15">
        <v>300</v>
      </c>
      <c r="G15">
        <v>900</v>
      </c>
      <c r="H15">
        <f t="shared" si="0"/>
        <v>180</v>
      </c>
    </row>
    <row r="16" spans="1:8" x14ac:dyDescent="0.3">
      <c r="A16" s="3">
        <v>44986</v>
      </c>
      <c r="B16" t="s">
        <v>10</v>
      </c>
      <c r="C16" t="s">
        <v>14</v>
      </c>
      <c r="D16" t="s">
        <v>18</v>
      </c>
      <c r="E16">
        <v>3</v>
      </c>
      <c r="F16">
        <v>300</v>
      </c>
      <c r="G16">
        <v>900</v>
      </c>
      <c r="H16">
        <f t="shared" si="0"/>
        <v>180</v>
      </c>
    </row>
    <row r="17" spans="1:8" x14ac:dyDescent="0.3">
      <c r="A17" s="3">
        <v>44990</v>
      </c>
      <c r="B17" t="s">
        <v>10</v>
      </c>
      <c r="C17" t="s">
        <v>14</v>
      </c>
      <c r="D17" t="s">
        <v>18</v>
      </c>
      <c r="E17">
        <v>3</v>
      </c>
      <c r="F17">
        <v>300</v>
      </c>
      <c r="G17">
        <v>900</v>
      </c>
      <c r="H17">
        <f t="shared" si="0"/>
        <v>180</v>
      </c>
    </row>
    <row r="18" spans="1:8" x14ac:dyDescent="0.3">
      <c r="A18" s="3">
        <v>44994</v>
      </c>
      <c r="B18" t="s">
        <v>10</v>
      </c>
      <c r="C18" t="s">
        <v>14</v>
      </c>
      <c r="D18" t="s">
        <v>18</v>
      </c>
      <c r="E18">
        <v>3</v>
      </c>
      <c r="F18">
        <v>300</v>
      </c>
      <c r="G18">
        <v>900</v>
      </c>
      <c r="H18">
        <f t="shared" si="0"/>
        <v>180</v>
      </c>
    </row>
    <row r="19" spans="1:8" x14ac:dyDescent="0.3">
      <c r="A19" s="3">
        <v>44998</v>
      </c>
      <c r="B19" t="s">
        <v>10</v>
      </c>
      <c r="C19" t="s">
        <v>14</v>
      </c>
      <c r="D19" t="s">
        <v>18</v>
      </c>
      <c r="E19">
        <v>3</v>
      </c>
      <c r="F19">
        <v>300</v>
      </c>
      <c r="G19">
        <v>900</v>
      </c>
      <c r="H19">
        <f t="shared" si="0"/>
        <v>180</v>
      </c>
    </row>
    <row r="20" spans="1:8" x14ac:dyDescent="0.3">
      <c r="A20" s="3">
        <v>45002</v>
      </c>
      <c r="B20" t="s">
        <v>10</v>
      </c>
      <c r="C20" t="s">
        <v>14</v>
      </c>
      <c r="D20" t="s">
        <v>18</v>
      </c>
      <c r="E20">
        <v>3</v>
      </c>
      <c r="F20">
        <v>300</v>
      </c>
      <c r="G20">
        <v>900</v>
      </c>
      <c r="H20">
        <f t="shared" si="0"/>
        <v>180</v>
      </c>
    </row>
    <row r="21" spans="1:8" x14ac:dyDescent="0.3">
      <c r="A21" s="3">
        <v>45006</v>
      </c>
      <c r="B21" t="s">
        <v>10</v>
      </c>
      <c r="C21" t="s">
        <v>14</v>
      </c>
      <c r="D21" t="s">
        <v>18</v>
      </c>
      <c r="E21">
        <v>3</v>
      </c>
      <c r="F21">
        <v>300</v>
      </c>
      <c r="G21">
        <v>900</v>
      </c>
      <c r="H21">
        <f t="shared" si="0"/>
        <v>180</v>
      </c>
    </row>
    <row r="22" spans="1:8" x14ac:dyDescent="0.3">
      <c r="A22" s="3">
        <v>45010</v>
      </c>
      <c r="B22" t="s">
        <v>10</v>
      </c>
      <c r="C22" t="s">
        <v>14</v>
      </c>
      <c r="D22" t="s">
        <v>18</v>
      </c>
      <c r="E22">
        <v>3</v>
      </c>
      <c r="F22">
        <v>300</v>
      </c>
      <c r="G22">
        <v>900</v>
      </c>
      <c r="H22">
        <f t="shared" si="0"/>
        <v>180</v>
      </c>
    </row>
    <row r="23" spans="1:8" x14ac:dyDescent="0.3">
      <c r="A23" s="3">
        <v>45014</v>
      </c>
      <c r="B23" t="s">
        <v>10</v>
      </c>
      <c r="C23" t="s">
        <v>14</v>
      </c>
      <c r="D23" t="s">
        <v>18</v>
      </c>
      <c r="E23">
        <v>3</v>
      </c>
      <c r="F23">
        <v>300</v>
      </c>
      <c r="G23">
        <v>900</v>
      </c>
      <c r="H23">
        <f t="shared" si="0"/>
        <v>180</v>
      </c>
    </row>
    <row r="24" spans="1:8" x14ac:dyDescent="0.3">
      <c r="A24" s="3">
        <v>45018</v>
      </c>
      <c r="B24" t="s">
        <v>10</v>
      </c>
      <c r="C24" t="s">
        <v>14</v>
      </c>
      <c r="D24" t="s">
        <v>18</v>
      </c>
      <c r="E24">
        <v>3</v>
      </c>
      <c r="F24">
        <v>300</v>
      </c>
      <c r="G24">
        <v>900</v>
      </c>
      <c r="H24">
        <f t="shared" si="0"/>
        <v>180</v>
      </c>
    </row>
    <row r="25" spans="1:8" x14ac:dyDescent="0.3">
      <c r="A25" s="3">
        <v>45022</v>
      </c>
      <c r="B25" t="s">
        <v>10</v>
      </c>
      <c r="C25" t="s">
        <v>14</v>
      </c>
      <c r="D25" t="s">
        <v>18</v>
      </c>
      <c r="E25">
        <v>3</v>
      </c>
      <c r="F25">
        <v>300</v>
      </c>
      <c r="G25">
        <v>900</v>
      </c>
      <c r="H25">
        <f t="shared" si="0"/>
        <v>180</v>
      </c>
    </row>
    <row r="26" spans="1:8" x14ac:dyDescent="0.3">
      <c r="A26" s="3">
        <v>45026</v>
      </c>
      <c r="B26" t="s">
        <v>10</v>
      </c>
      <c r="C26" t="s">
        <v>14</v>
      </c>
      <c r="D26" t="s">
        <v>18</v>
      </c>
      <c r="E26">
        <v>3</v>
      </c>
      <c r="F26">
        <v>300</v>
      </c>
      <c r="G26">
        <v>900</v>
      </c>
      <c r="H26">
        <f t="shared" si="0"/>
        <v>180</v>
      </c>
    </row>
    <row r="27" spans="1:8" x14ac:dyDescent="0.3">
      <c r="A27" s="3">
        <v>45030</v>
      </c>
      <c r="B27" t="s">
        <v>10</v>
      </c>
      <c r="C27" t="s">
        <v>14</v>
      </c>
      <c r="D27" t="s">
        <v>18</v>
      </c>
      <c r="E27">
        <v>3</v>
      </c>
      <c r="F27">
        <v>300</v>
      </c>
      <c r="G27">
        <v>900</v>
      </c>
      <c r="H27">
        <f t="shared" si="0"/>
        <v>180</v>
      </c>
    </row>
    <row r="28" spans="1:8" x14ac:dyDescent="0.3">
      <c r="A28" s="3">
        <v>45034</v>
      </c>
      <c r="B28" t="s">
        <v>10</v>
      </c>
      <c r="C28" t="s">
        <v>14</v>
      </c>
      <c r="D28" t="s">
        <v>18</v>
      </c>
      <c r="E28">
        <v>3</v>
      </c>
      <c r="F28">
        <v>300</v>
      </c>
      <c r="G28">
        <v>900</v>
      </c>
      <c r="H28">
        <f t="shared" si="0"/>
        <v>180</v>
      </c>
    </row>
    <row r="29" spans="1:8" x14ac:dyDescent="0.3">
      <c r="A29" s="3">
        <v>45038</v>
      </c>
      <c r="B29" t="s">
        <v>10</v>
      </c>
      <c r="C29" t="s">
        <v>14</v>
      </c>
      <c r="D29" t="s">
        <v>18</v>
      </c>
      <c r="E29">
        <v>3</v>
      </c>
      <c r="F29">
        <v>300</v>
      </c>
      <c r="G29">
        <v>900</v>
      </c>
      <c r="H29">
        <f t="shared" si="0"/>
        <v>180</v>
      </c>
    </row>
    <row r="30" spans="1:8" x14ac:dyDescent="0.3">
      <c r="A30" s="3">
        <v>45042</v>
      </c>
      <c r="B30" t="s">
        <v>10</v>
      </c>
      <c r="C30" t="s">
        <v>14</v>
      </c>
      <c r="D30" t="s">
        <v>18</v>
      </c>
      <c r="E30">
        <v>3</v>
      </c>
      <c r="F30">
        <v>300</v>
      </c>
      <c r="G30">
        <v>900</v>
      </c>
      <c r="H30">
        <f t="shared" si="0"/>
        <v>180</v>
      </c>
    </row>
    <row r="31" spans="1:8" x14ac:dyDescent="0.3">
      <c r="A31" s="3">
        <v>45046</v>
      </c>
      <c r="B31" t="s">
        <v>10</v>
      </c>
      <c r="C31" t="s">
        <v>14</v>
      </c>
      <c r="D31" t="s">
        <v>18</v>
      </c>
      <c r="E31">
        <v>3</v>
      </c>
      <c r="F31">
        <v>300</v>
      </c>
      <c r="G31">
        <v>900</v>
      </c>
      <c r="H31">
        <f t="shared" si="0"/>
        <v>180</v>
      </c>
    </row>
    <row r="32" spans="1:8" x14ac:dyDescent="0.3">
      <c r="A32" s="3">
        <v>45050</v>
      </c>
      <c r="B32" t="s">
        <v>10</v>
      </c>
      <c r="C32" t="s">
        <v>14</v>
      </c>
      <c r="D32" t="s">
        <v>18</v>
      </c>
      <c r="E32">
        <v>3</v>
      </c>
      <c r="F32">
        <v>300</v>
      </c>
      <c r="G32">
        <v>900</v>
      </c>
      <c r="H32">
        <f t="shared" si="0"/>
        <v>180</v>
      </c>
    </row>
    <row r="33" spans="1:8" x14ac:dyDescent="0.3">
      <c r="A33" s="3">
        <v>45054</v>
      </c>
      <c r="B33" t="s">
        <v>10</v>
      </c>
      <c r="C33" t="s">
        <v>14</v>
      </c>
      <c r="D33" t="s">
        <v>18</v>
      </c>
      <c r="E33">
        <v>3</v>
      </c>
      <c r="F33">
        <v>300</v>
      </c>
      <c r="G33">
        <v>900</v>
      </c>
      <c r="H33">
        <f t="shared" si="0"/>
        <v>180</v>
      </c>
    </row>
    <row r="34" spans="1:8" x14ac:dyDescent="0.3">
      <c r="A34" s="3">
        <v>45058</v>
      </c>
      <c r="B34" t="s">
        <v>10</v>
      </c>
      <c r="C34" t="s">
        <v>14</v>
      </c>
      <c r="D34" t="s">
        <v>18</v>
      </c>
      <c r="E34">
        <v>3</v>
      </c>
      <c r="F34">
        <v>300</v>
      </c>
      <c r="G34">
        <v>900</v>
      </c>
      <c r="H34">
        <f t="shared" ref="H34:H65" si="1">G34*0.2</f>
        <v>180</v>
      </c>
    </row>
    <row r="35" spans="1:8" x14ac:dyDescent="0.3">
      <c r="A35" s="3">
        <v>45062</v>
      </c>
      <c r="B35" t="s">
        <v>10</v>
      </c>
      <c r="C35" t="s">
        <v>14</v>
      </c>
      <c r="D35" t="s">
        <v>18</v>
      </c>
      <c r="E35">
        <v>3</v>
      </c>
      <c r="F35">
        <v>300</v>
      </c>
      <c r="G35">
        <v>900</v>
      </c>
      <c r="H35">
        <f t="shared" si="1"/>
        <v>180</v>
      </c>
    </row>
    <row r="36" spans="1:8" x14ac:dyDescent="0.3">
      <c r="A36" s="3">
        <v>45066</v>
      </c>
      <c r="B36" t="s">
        <v>10</v>
      </c>
      <c r="C36" t="s">
        <v>14</v>
      </c>
      <c r="D36" t="s">
        <v>18</v>
      </c>
      <c r="E36">
        <v>3</v>
      </c>
      <c r="F36">
        <v>300</v>
      </c>
      <c r="G36">
        <v>900</v>
      </c>
      <c r="H36">
        <f t="shared" si="1"/>
        <v>180</v>
      </c>
    </row>
    <row r="37" spans="1:8" x14ac:dyDescent="0.3">
      <c r="A37" s="3">
        <v>45070</v>
      </c>
      <c r="B37" t="s">
        <v>10</v>
      </c>
      <c r="C37" t="s">
        <v>14</v>
      </c>
      <c r="D37" t="s">
        <v>18</v>
      </c>
      <c r="E37">
        <v>3</v>
      </c>
      <c r="F37">
        <v>300</v>
      </c>
      <c r="G37">
        <v>900</v>
      </c>
      <c r="H37">
        <f t="shared" si="1"/>
        <v>180</v>
      </c>
    </row>
    <row r="38" spans="1:8" x14ac:dyDescent="0.3">
      <c r="A38" s="3">
        <v>45074</v>
      </c>
      <c r="B38" t="s">
        <v>10</v>
      </c>
      <c r="C38" t="s">
        <v>14</v>
      </c>
      <c r="D38" t="s">
        <v>18</v>
      </c>
      <c r="E38">
        <v>3</v>
      </c>
      <c r="F38">
        <v>300</v>
      </c>
      <c r="G38">
        <v>900</v>
      </c>
      <c r="H38">
        <f t="shared" si="1"/>
        <v>180</v>
      </c>
    </row>
    <row r="39" spans="1:8" x14ac:dyDescent="0.3">
      <c r="A39" s="3">
        <v>45078</v>
      </c>
      <c r="B39" t="s">
        <v>10</v>
      </c>
      <c r="C39" t="s">
        <v>14</v>
      </c>
      <c r="D39" t="s">
        <v>18</v>
      </c>
      <c r="E39">
        <v>3</v>
      </c>
      <c r="F39">
        <v>300</v>
      </c>
      <c r="G39">
        <v>900</v>
      </c>
      <c r="H39">
        <f t="shared" si="1"/>
        <v>180</v>
      </c>
    </row>
    <row r="40" spans="1:8" x14ac:dyDescent="0.3">
      <c r="A40" s="3">
        <v>45082</v>
      </c>
      <c r="B40" t="s">
        <v>10</v>
      </c>
      <c r="C40" t="s">
        <v>14</v>
      </c>
      <c r="D40" t="s">
        <v>18</v>
      </c>
      <c r="E40">
        <v>3</v>
      </c>
      <c r="F40">
        <v>300</v>
      </c>
      <c r="G40">
        <v>900</v>
      </c>
      <c r="H40">
        <f t="shared" si="1"/>
        <v>180</v>
      </c>
    </row>
    <row r="41" spans="1:8" x14ac:dyDescent="0.3">
      <c r="A41" s="3">
        <v>45086</v>
      </c>
      <c r="B41" t="s">
        <v>10</v>
      </c>
      <c r="C41" t="s">
        <v>14</v>
      </c>
      <c r="D41" t="s">
        <v>18</v>
      </c>
      <c r="E41">
        <v>3</v>
      </c>
      <c r="F41">
        <v>300</v>
      </c>
      <c r="G41">
        <v>900</v>
      </c>
      <c r="H41">
        <f t="shared" si="1"/>
        <v>180</v>
      </c>
    </row>
    <row r="42" spans="1:8" x14ac:dyDescent="0.3">
      <c r="A42" s="3">
        <v>45090</v>
      </c>
      <c r="B42" t="s">
        <v>10</v>
      </c>
      <c r="C42" t="s">
        <v>14</v>
      </c>
      <c r="D42" t="s">
        <v>18</v>
      </c>
      <c r="E42">
        <v>3</v>
      </c>
      <c r="F42">
        <v>300</v>
      </c>
      <c r="G42">
        <v>900</v>
      </c>
      <c r="H42">
        <f t="shared" si="1"/>
        <v>180</v>
      </c>
    </row>
    <row r="43" spans="1:8" x14ac:dyDescent="0.3">
      <c r="A43" s="3">
        <v>45094</v>
      </c>
      <c r="B43" t="s">
        <v>10</v>
      </c>
      <c r="C43" t="s">
        <v>14</v>
      </c>
      <c r="D43" t="s">
        <v>18</v>
      </c>
      <c r="E43">
        <v>3</v>
      </c>
      <c r="F43">
        <v>300</v>
      </c>
      <c r="G43">
        <v>900</v>
      </c>
      <c r="H43">
        <f t="shared" si="1"/>
        <v>180</v>
      </c>
    </row>
    <row r="44" spans="1:8" x14ac:dyDescent="0.3">
      <c r="A44" s="3">
        <v>45098</v>
      </c>
      <c r="B44" t="s">
        <v>10</v>
      </c>
      <c r="C44" t="s">
        <v>14</v>
      </c>
      <c r="D44" t="s">
        <v>18</v>
      </c>
      <c r="E44">
        <v>3</v>
      </c>
      <c r="F44">
        <v>300</v>
      </c>
      <c r="G44">
        <v>900</v>
      </c>
      <c r="H44">
        <f t="shared" si="1"/>
        <v>180</v>
      </c>
    </row>
    <row r="45" spans="1:8" x14ac:dyDescent="0.3">
      <c r="A45" s="3">
        <v>45102</v>
      </c>
      <c r="B45" t="s">
        <v>10</v>
      </c>
      <c r="C45" t="s">
        <v>14</v>
      </c>
      <c r="D45" t="s">
        <v>18</v>
      </c>
      <c r="E45">
        <v>3</v>
      </c>
      <c r="F45">
        <v>300</v>
      </c>
      <c r="G45">
        <v>900</v>
      </c>
      <c r="H45">
        <f t="shared" si="1"/>
        <v>180</v>
      </c>
    </row>
    <row r="46" spans="1:8" x14ac:dyDescent="0.3">
      <c r="A46" s="3">
        <v>45106</v>
      </c>
      <c r="B46" t="s">
        <v>10</v>
      </c>
      <c r="C46" t="s">
        <v>14</v>
      </c>
      <c r="D46" t="s">
        <v>18</v>
      </c>
      <c r="E46">
        <v>3</v>
      </c>
      <c r="F46">
        <v>300</v>
      </c>
      <c r="G46">
        <v>900</v>
      </c>
      <c r="H46">
        <f t="shared" si="1"/>
        <v>180</v>
      </c>
    </row>
    <row r="47" spans="1:8" x14ac:dyDescent="0.3">
      <c r="A47" s="3">
        <v>45110</v>
      </c>
      <c r="B47" t="s">
        <v>10</v>
      </c>
      <c r="C47" t="s">
        <v>14</v>
      </c>
      <c r="D47" t="s">
        <v>18</v>
      </c>
      <c r="E47">
        <v>3</v>
      </c>
      <c r="F47">
        <v>300</v>
      </c>
      <c r="G47">
        <v>900</v>
      </c>
      <c r="H47">
        <f t="shared" si="1"/>
        <v>180</v>
      </c>
    </row>
    <row r="48" spans="1:8" x14ac:dyDescent="0.3">
      <c r="A48" s="3">
        <v>45114</v>
      </c>
      <c r="B48" t="s">
        <v>10</v>
      </c>
      <c r="C48" t="s">
        <v>14</v>
      </c>
      <c r="D48" t="s">
        <v>18</v>
      </c>
      <c r="E48">
        <v>3</v>
      </c>
      <c r="F48">
        <v>300</v>
      </c>
      <c r="G48">
        <v>900</v>
      </c>
      <c r="H48">
        <f t="shared" si="1"/>
        <v>180</v>
      </c>
    </row>
    <row r="49" spans="1:8" x14ac:dyDescent="0.3">
      <c r="A49" s="3">
        <v>45118</v>
      </c>
      <c r="B49" t="s">
        <v>10</v>
      </c>
      <c r="C49" t="s">
        <v>14</v>
      </c>
      <c r="D49" t="s">
        <v>18</v>
      </c>
      <c r="E49">
        <v>3</v>
      </c>
      <c r="F49">
        <v>300</v>
      </c>
      <c r="G49">
        <v>900</v>
      </c>
      <c r="H49">
        <f t="shared" si="1"/>
        <v>180</v>
      </c>
    </row>
    <row r="50" spans="1:8" x14ac:dyDescent="0.3">
      <c r="A50" s="3">
        <v>45122</v>
      </c>
      <c r="B50" t="s">
        <v>10</v>
      </c>
      <c r="C50" t="s">
        <v>14</v>
      </c>
      <c r="D50" t="s">
        <v>18</v>
      </c>
      <c r="E50">
        <v>3</v>
      </c>
      <c r="F50">
        <v>300</v>
      </c>
      <c r="G50">
        <v>900</v>
      </c>
      <c r="H50">
        <f t="shared" si="1"/>
        <v>180</v>
      </c>
    </row>
    <row r="51" spans="1:8" x14ac:dyDescent="0.3">
      <c r="A51" s="3">
        <v>45126</v>
      </c>
      <c r="B51" t="s">
        <v>10</v>
      </c>
      <c r="C51" t="s">
        <v>14</v>
      </c>
      <c r="D51" t="s">
        <v>18</v>
      </c>
      <c r="E51">
        <v>3</v>
      </c>
      <c r="F51">
        <v>300</v>
      </c>
      <c r="G51">
        <v>900</v>
      </c>
      <c r="H51">
        <f t="shared" si="1"/>
        <v>180</v>
      </c>
    </row>
    <row r="52" spans="1:8" x14ac:dyDescent="0.3">
      <c r="A52" s="3">
        <v>44927</v>
      </c>
      <c r="B52" t="s">
        <v>7</v>
      </c>
      <c r="C52" t="s">
        <v>11</v>
      </c>
      <c r="D52" t="s">
        <v>15</v>
      </c>
      <c r="E52">
        <v>5</v>
      </c>
      <c r="F52">
        <v>50000</v>
      </c>
      <c r="G52">
        <v>250000</v>
      </c>
      <c r="H52">
        <f t="shared" si="1"/>
        <v>50000</v>
      </c>
    </row>
    <row r="53" spans="1:8" x14ac:dyDescent="0.3">
      <c r="A53" s="3">
        <v>44931</v>
      </c>
      <c r="B53" t="s">
        <v>7</v>
      </c>
      <c r="C53" t="s">
        <v>11</v>
      </c>
      <c r="D53" t="s">
        <v>15</v>
      </c>
      <c r="E53">
        <v>5</v>
      </c>
      <c r="F53">
        <v>50000</v>
      </c>
      <c r="G53">
        <v>250000</v>
      </c>
      <c r="H53">
        <f t="shared" si="1"/>
        <v>50000</v>
      </c>
    </row>
    <row r="54" spans="1:8" x14ac:dyDescent="0.3">
      <c r="A54" s="3">
        <v>44935</v>
      </c>
      <c r="B54" t="s">
        <v>7</v>
      </c>
      <c r="C54" t="s">
        <v>11</v>
      </c>
      <c r="D54" t="s">
        <v>15</v>
      </c>
      <c r="E54">
        <v>5</v>
      </c>
      <c r="F54">
        <v>50000</v>
      </c>
      <c r="G54">
        <v>250000</v>
      </c>
      <c r="H54">
        <f t="shared" si="1"/>
        <v>50000</v>
      </c>
    </row>
    <row r="55" spans="1:8" x14ac:dyDescent="0.3">
      <c r="A55" s="3">
        <v>44939</v>
      </c>
      <c r="B55" t="s">
        <v>7</v>
      </c>
      <c r="C55" t="s">
        <v>11</v>
      </c>
      <c r="D55" t="s">
        <v>15</v>
      </c>
      <c r="E55">
        <v>5</v>
      </c>
      <c r="F55">
        <v>50000</v>
      </c>
      <c r="G55">
        <v>250000</v>
      </c>
      <c r="H55">
        <f t="shared" si="1"/>
        <v>50000</v>
      </c>
    </row>
    <row r="56" spans="1:8" x14ac:dyDescent="0.3">
      <c r="A56" s="3">
        <v>44943</v>
      </c>
      <c r="B56" t="s">
        <v>7</v>
      </c>
      <c r="C56" t="s">
        <v>11</v>
      </c>
      <c r="D56" t="s">
        <v>15</v>
      </c>
      <c r="E56">
        <v>5</v>
      </c>
      <c r="F56">
        <v>50000</v>
      </c>
      <c r="G56">
        <v>250000</v>
      </c>
      <c r="H56">
        <f t="shared" si="1"/>
        <v>50000</v>
      </c>
    </row>
    <row r="57" spans="1:8" x14ac:dyDescent="0.3">
      <c r="A57" s="3">
        <v>44947</v>
      </c>
      <c r="B57" t="s">
        <v>7</v>
      </c>
      <c r="C57" t="s">
        <v>11</v>
      </c>
      <c r="D57" t="s">
        <v>15</v>
      </c>
      <c r="E57">
        <v>5</v>
      </c>
      <c r="F57">
        <v>50000</v>
      </c>
      <c r="G57">
        <v>250000</v>
      </c>
      <c r="H57">
        <f t="shared" si="1"/>
        <v>50000</v>
      </c>
    </row>
    <row r="58" spans="1:8" x14ac:dyDescent="0.3">
      <c r="A58" s="3">
        <v>44951</v>
      </c>
      <c r="B58" t="s">
        <v>7</v>
      </c>
      <c r="C58" t="s">
        <v>11</v>
      </c>
      <c r="D58" t="s">
        <v>15</v>
      </c>
      <c r="E58">
        <v>5</v>
      </c>
      <c r="F58">
        <v>50000</v>
      </c>
      <c r="G58">
        <v>250000</v>
      </c>
      <c r="H58">
        <f t="shared" si="1"/>
        <v>50000</v>
      </c>
    </row>
    <row r="59" spans="1:8" x14ac:dyDescent="0.3">
      <c r="A59" s="3">
        <v>44955</v>
      </c>
      <c r="B59" t="s">
        <v>7</v>
      </c>
      <c r="C59" t="s">
        <v>11</v>
      </c>
      <c r="D59" t="s">
        <v>15</v>
      </c>
      <c r="E59">
        <v>5</v>
      </c>
      <c r="F59">
        <v>50000</v>
      </c>
      <c r="G59">
        <v>250000</v>
      </c>
      <c r="H59">
        <f t="shared" si="1"/>
        <v>50000</v>
      </c>
    </row>
    <row r="60" spans="1:8" x14ac:dyDescent="0.3">
      <c r="A60" s="3">
        <v>44959</v>
      </c>
      <c r="B60" t="s">
        <v>7</v>
      </c>
      <c r="C60" t="s">
        <v>11</v>
      </c>
      <c r="D60" t="s">
        <v>15</v>
      </c>
      <c r="E60">
        <v>5</v>
      </c>
      <c r="F60">
        <v>50000</v>
      </c>
      <c r="G60">
        <v>250000</v>
      </c>
      <c r="H60">
        <f t="shared" si="1"/>
        <v>50000</v>
      </c>
    </row>
    <row r="61" spans="1:8" x14ac:dyDescent="0.3">
      <c r="A61" s="3">
        <v>44963</v>
      </c>
      <c r="B61" t="s">
        <v>7</v>
      </c>
      <c r="C61" t="s">
        <v>11</v>
      </c>
      <c r="D61" t="s">
        <v>15</v>
      </c>
      <c r="E61">
        <v>5</v>
      </c>
      <c r="F61">
        <v>50000</v>
      </c>
      <c r="G61">
        <v>250000</v>
      </c>
      <c r="H61">
        <f t="shared" si="1"/>
        <v>50000</v>
      </c>
    </row>
    <row r="62" spans="1:8" x14ac:dyDescent="0.3">
      <c r="A62" s="3">
        <v>44967</v>
      </c>
      <c r="B62" t="s">
        <v>7</v>
      </c>
      <c r="C62" t="s">
        <v>11</v>
      </c>
      <c r="D62" t="s">
        <v>15</v>
      </c>
      <c r="E62">
        <v>5</v>
      </c>
      <c r="F62">
        <v>50000</v>
      </c>
      <c r="G62">
        <v>250000</v>
      </c>
      <c r="H62">
        <f t="shared" si="1"/>
        <v>50000</v>
      </c>
    </row>
    <row r="63" spans="1:8" x14ac:dyDescent="0.3">
      <c r="A63" s="3">
        <v>44971</v>
      </c>
      <c r="B63" t="s">
        <v>7</v>
      </c>
      <c r="C63" t="s">
        <v>11</v>
      </c>
      <c r="D63" t="s">
        <v>15</v>
      </c>
      <c r="E63">
        <v>5</v>
      </c>
      <c r="F63">
        <v>50000</v>
      </c>
      <c r="G63">
        <v>250000</v>
      </c>
      <c r="H63">
        <f t="shared" si="1"/>
        <v>50000</v>
      </c>
    </row>
    <row r="64" spans="1:8" x14ac:dyDescent="0.3">
      <c r="A64" s="3">
        <v>44975</v>
      </c>
      <c r="B64" t="s">
        <v>7</v>
      </c>
      <c r="C64" t="s">
        <v>11</v>
      </c>
      <c r="D64" t="s">
        <v>15</v>
      </c>
      <c r="E64">
        <v>5</v>
      </c>
      <c r="F64">
        <v>50000</v>
      </c>
      <c r="G64">
        <v>250000</v>
      </c>
      <c r="H64">
        <f t="shared" si="1"/>
        <v>50000</v>
      </c>
    </row>
    <row r="65" spans="1:8" x14ac:dyDescent="0.3">
      <c r="A65" s="3">
        <v>44979</v>
      </c>
      <c r="B65" t="s">
        <v>7</v>
      </c>
      <c r="C65" t="s">
        <v>11</v>
      </c>
      <c r="D65" t="s">
        <v>15</v>
      </c>
      <c r="E65">
        <v>5</v>
      </c>
      <c r="F65">
        <v>50000</v>
      </c>
      <c r="G65">
        <v>250000</v>
      </c>
      <c r="H65">
        <f t="shared" si="1"/>
        <v>50000</v>
      </c>
    </row>
    <row r="66" spans="1:8" x14ac:dyDescent="0.3">
      <c r="A66" s="3">
        <v>44983</v>
      </c>
      <c r="B66" t="s">
        <v>7</v>
      </c>
      <c r="C66" t="s">
        <v>11</v>
      </c>
      <c r="D66" t="s">
        <v>15</v>
      </c>
      <c r="E66">
        <v>5</v>
      </c>
      <c r="F66">
        <v>50000</v>
      </c>
      <c r="G66">
        <v>250000</v>
      </c>
      <c r="H66">
        <f t="shared" ref="H66:H97" si="2">G66*0.2</f>
        <v>50000</v>
      </c>
    </row>
    <row r="67" spans="1:8" x14ac:dyDescent="0.3">
      <c r="A67" s="3">
        <v>44987</v>
      </c>
      <c r="B67" t="s">
        <v>7</v>
      </c>
      <c r="C67" t="s">
        <v>11</v>
      </c>
      <c r="D67" t="s">
        <v>15</v>
      </c>
      <c r="E67">
        <v>5</v>
      </c>
      <c r="F67">
        <v>50000</v>
      </c>
      <c r="G67">
        <v>250000</v>
      </c>
      <c r="H67">
        <f t="shared" si="2"/>
        <v>50000</v>
      </c>
    </row>
    <row r="68" spans="1:8" x14ac:dyDescent="0.3">
      <c r="A68" s="3">
        <v>44991</v>
      </c>
      <c r="B68" t="s">
        <v>7</v>
      </c>
      <c r="C68" t="s">
        <v>11</v>
      </c>
      <c r="D68" t="s">
        <v>15</v>
      </c>
      <c r="E68">
        <v>5</v>
      </c>
      <c r="F68">
        <v>50000</v>
      </c>
      <c r="G68">
        <v>250000</v>
      </c>
      <c r="H68">
        <f t="shared" si="2"/>
        <v>50000</v>
      </c>
    </row>
    <row r="69" spans="1:8" x14ac:dyDescent="0.3">
      <c r="A69" s="3">
        <v>44995</v>
      </c>
      <c r="B69" t="s">
        <v>7</v>
      </c>
      <c r="C69" t="s">
        <v>11</v>
      </c>
      <c r="D69" t="s">
        <v>15</v>
      </c>
      <c r="E69">
        <v>5</v>
      </c>
      <c r="F69">
        <v>50000</v>
      </c>
      <c r="G69">
        <v>250000</v>
      </c>
      <c r="H69">
        <f t="shared" si="2"/>
        <v>50000</v>
      </c>
    </row>
    <row r="70" spans="1:8" x14ac:dyDescent="0.3">
      <c r="A70" s="3">
        <v>44999</v>
      </c>
      <c r="B70" t="s">
        <v>7</v>
      </c>
      <c r="C70" t="s">
        <v>11</v>
      </c>
      <c r="D70" t="s">
        <v>15</v>
      </c>
      <c r="E70">
        <v>5</v>
      </c>
      <c r="F70">
        <v>50000</v>
      </c>
      <c r="G70">
        <v>250000</v>
      </c>
      <c r="H70">
        <f t="shared" si="2"/>
        <v>50000</v>
      </c>
    </row>
    <row r="71" spans="1:8" x14ac:dyDescent="0.3">
      <c r="A71" s="3">
        <v>45003</v>
      </c>
      <c r="B71" t="s">
        <v>7</v>
      </c>
      <c r="C71" t="s">
        <v>11</v>
      </c>
      <c r="D71" t="s">
        <v>15</v>
      </c>
      <c r="E71">
        <v>5</v>
      </c>
      <c r="F71">
        <v>50000</v>
      </c>
      <c r="G71">
        <v>250000</v>
      </c>
      <c r="H71">
        <f t="shared" si="2"/>
        <v>50000</v>
      </c>
    </row>
    <row r="72" spans="1:8" x14ac:dyDescent="0.3">
      <c r="A72" s="3">
        <v>45007</v>
      </c>
      <c r="B72" t="s">
        <v>7</v>
      </c>
      <c r="C72" t="s">
        <v>11</v>
      </c>
      <c r="D72" t="s">
        <v>15</v>
      </c>
      <c r="E72">
        <v>5</v>
      </c>
      <c r="F72">
        <v>50000</v>
      </c>
      <c r="G72">
        <v>250000</v>
      </c>
      <c r="H72">
        <f t="shared" si="2"/>
        <v>50000</v>
      </c>
    </row>
    <row r="73" spans="1:8" x14ac:dyDescent="0.3">
      <c r="A73" s="3">
        <v>45011</v>
      </c>
      <c r="B73" t="s">
        <v>7</v>
      </c>
      <c r="C73" t="s">
        <v>11</v>
      </c>
      <c r="D73" t="s">
        <v>15</v>
      </c>
      <c r="E73">
        <v>5</v>
      </c>
      <c r="F73">
        <v>50000</v>
      </c>
      <c r="G73">
        <v>250000</v>
      </c>
      <c r="H73">
        <f t="shared" si="2"/>
        <v>50000</v>
      </c>
    </row>
    <row r="74" spans="1:8" x14ac:dyDescent="0.3">
      <c r="A74" s="3">
        <v>45015</v>
      </c>
      <c r="B74" t="s">
        <v>7</v>
      </c>
      <c r="C74" t="s">
        <v>11</v>
      </c>
      <c r="D74" t="s">
        <v>15</v>
      </c>
      <c r="E74">
        <v>5</v>
      </c>
      <c r="F74">
        <v>50000</v>
      </c>
      <c r="G74">
        <v>250000</v>
      </c>
      <c r="H74">
        <f t="shared" si="2"/>
        <v>50000</v>
      </c>
    </row>
    <row r="75" spans="1:8" x14ac:dyDescent="0.3">
      <c r="A75" s="3">
        <v>45019</v>
      </c>
      <c r="B75" t="s">
        <v>7</v>
      </c>
      <c r="C75" t="s">
        <v>11</v>
      </c>
      <c r="D75" t="s">
        <v>15</v>
      </c>
      <c r="E75">
        <v>5</v>
      </c>
      <c r="F75">
        <v>50000</v>
      </c>
      <c r="G75">
        <v>250000</v>
      </c>
      <c r="H75">
        <f t="shared" si="2"/>
        <v>50000</v>
      </c>
    </row>
    <row r="76" spans="1:8" x14ac:dyDescent="0.3">
      <c r="A76" s="3">
        <v>45023</v>
      </c>
      <c r="B76" t="s">
        <v>7</v>
      </c>
      <c r="C76" t="s">
        <v>11</v>
      </c>
      <c r="D76" t="s">
        <v>15</v>
      </c>
      <c r="E76">
        <v>5</v>
      </c>
      <c r="F76">
        <v>50000</v>
      </c>
      <c r="G76">
        <v>250000</v>
      </c>
      <c r="H76">
        <f t="shared" si="2"/>
        <v>50000</v>
      </c>
    </row>
    <row r="77" spans="1:8" x14ac:dyDescent="0.3">
      <c r="A77" s="3">
        <v>45027</v>
      </c>
      <c r="B77" t="s">
        <v>7</v>
      </c>
      <c r="C77" t="s">
        <v>11</v>
      </c>
      <c r="D77" t="s">
        <v>15</v>
      </c>
      <c r="E77">
        <v>5</v>
      </c>
      <c r="F77">
        <v>50000</v>
      </c>
      <c r="G77">
        <v>250000</v>
      </c>
      <c r="H77">
        <f t="shared" si="2"/>
        <v>50000</v>
      </c>
    </row>
    <row r="78" spans="1:8" x14ac:dyDescent="0.3">
      <c r="A78" s="3">
        <v>45031</v>
      </c>
      <c r="B78" t="s">
        <v>7</v>
      </c>
      <c r="C78" t="s">
        <v>11</v>
      </c>
      <c r="D78" t="s">
        <v>15</v>
      </c>
      <c r="E78">
        <v>5</v>
      </c>
      <c r="F78">
        <v>50000</v>
      </c>
      <c r="G78">
        <v>250000</v>
      </c>
      <c r="H78">
        <f t="shared" si="2"/>
        <v>50000</v>
      </c>
    </row>
    <row r="79" spans="1:8" x14ac:dyDescent="0.3">
      <c r="A79" s="3">
        <v>45035</v>
      </c>
      <c r="B79" t="s">
        <v>7</v>
      </c>
      <c r="C79" t="s">
        <v>11</v>
      </c>
      <c r="D79" t="s">
        <v>15</v>
      </c>
      <c r="E79">
        <v>5</v>
      </c>
      <c r="F79">
        <v>50000</v>
      </c>
      <c r="G79">
        <v>250000</v>
      </c>
      <c r="H79">
        <f t="shared" si="2"/>
        <v>50000</v>
      </c>
    </row>
    <row r="80" spans="1:8" x14ac:dyDescent="0.3">
      <c r="A80" s="3">
        <v>45039</v>
      </c>
      <c r="B80" t="s">
        <v>7</v>
      </c>
      <c r="C80" t="s">
        <v>11</v>
      </c>
      <c r="D80" t="s">
        <v>15</v>
      </c>
      <c r="E80">
        <v>5</v>
      </c>
      <c r="F80">
        <v>50000</v>
      </c>
      <c r="G80">
        <v>250000</v>
      </c>
      <c r="H80">
        <f t="shared" si="2"/>
        <v>50000</v>
      </c>
    </row>
    <row r="81" spans="1:8" x14ac:dyDescent="0.3">
      <c r="A81" s="3">
        <v>45043</v>
      </c>
      <c r="B81" t="s">
        <v>7</v>
      </c>
      <c r="C81" t="s">
        <v>11</v>
      </c>
      <c r="D81" t="s">
        <v>15</v>
      </c>
      <c r="E81">
        <v>5</v>
      </c>
      <c r="F81">
        <v>50000</v>
      </c>
      <c r="G81">
        <v>250000</v>
      </c>
      <c r="H81">
        <f t="shared" si="2"/>
        <v>50000</v>
      </c>
    </row>
    <row r="82" spans="1:8" x14ac:dyDescent="0.3">
      <c r="A82" s="3">
        <v>45047</v>
      </c>
      <c r="B82" t="s">
        <v>7</v>
      </c>
      <c r="C82" t="s">
        <v>11</v>
      </c>
      <c r="D82" t="s">
        <v>15</v>
      </c>
      <c r="E82">
        <v>5</v>
      </c>
      <c r="F82">
        <v>50000</v>
      </c>
      <c r="G82">
        <v>250000</v>
      </c>
      <c r="H82">
        <f t="shared" si="2"/>
        <v>50000</v>
      </c>
    </row>
    <row r="83" spans="1:8" x14ac:dyDescent="0.3">
      <c r="A83" s="3">
        <v>45051</v>
      </c>
      <c r="B83" t="s">
        <v>7</v>
      </c>
      <c r="C83" t="s">
        <v>11</v>
      </c>
      <c r="D83" t="s">
        <v>15</v>
      </c>
      <c r="E83">
        <v>5</v>
      </c>
      <c r="F83">
        <v>50000</v>
      </c>
      <c r="G83">
        <v>250000</v>
      </c>
      <c r="H83">
        <f t="shared" si="2"/>
        <v>50000</v>
      </c>
    </row>
    <row r="84" spans="1:8" x14ac:dyDescent="0.3">
      <c r="A84" s="3">
        <v>45055</v>
      </c>
      <c r="B84" t="s">
        <v>7</v>
      </c>
      <c r="C84" t="s">
        <v>11</v>
      </c>
      <c r="D84" t="s">
        <v>15</v>
      </c>
      <c r="E84">
        <v>5</v>
      </c>
      <c r="F84">
        <v>50000</v>
      </c>
      <c r="G84">
        <v>250000</v>
      </c>
      <c r="H84">
        <f t="shared" si="2"/>
        <v>50000</v>
      </c>
    </row>
    <row r="85" spans="1:8" x14ac:dyDescent="0.3">
      <c r="A85" s="3">
        <v>45059</v>
      </c>
      <c r="B85" t="s">
        <v>7</v>
      </c>
      <c r="C85" t="s">
        <v>11</v>
      </c>
      <c r="D85" t="s">
        <v>15</v>
      </c>
      <c r="E85">
        <v>5</v>
      </c>
      <c r="F85">
        <v>50000</v>
      </c>
      <c r="G85">
        <v>250000</v>
      </c>
      <c r="H85">
        <f t="shared" si="2"/>
        <v>50000</v>
      </c>
    </row>
    <row r="86" spans="1:8" x14ac:dyDescent="0.3">
      <c r="A86" s="3">
        <v>45063</v>
      </c>
      <c r="B86" t="s">
        <v>7</v>
      </c>
      <c r="C86" t="s">
        <v>11</v>
      </c>
      <c r="D86" t="s">
        <v>15</v>
      </c>
      <c r="E86">
        <v>5</v>
      </c>
      <c r="F86">
        <v>50000</v>
      </c>
      <c r="G86">
        <v>250000</v>
      </c>
      <c r="H86">
        <f t="shared" si="2"/>
        <v>50000</v>
      </c>
    </row>
    <row r="87" spans="1:8" x14ac:dyDescent="0.3">
      <c r="A87" s="3">
        <v>45067</v>
      </c>
      <c r="B87" t="s">
        <v>7</v>
      </c>
      <c r="C87" t="s">
        <v>11</v>
      </c>
      <c r="D87" t="s">
        <v>15</v>
      </c>
      <c r="E87">
        <v>5</v>
      </c>
      <c r="F87">
        <v>50000</v>
      </c>
      <c r="G87">
        <v>250000</v>
      </c>
      <c r="H87">
        <f t="shared" si="2"/>
        <v>50000</v>
      </c>
    </row>
    <row r="88" spans="1:8" x14ac:dyDescent="0.3">
      <c r="A88" s="3">
        <v>45071</v>
      </c>
      <c r="B88" t="s">
        <v>7</v>
      </c>
      <c r="C88" t="s">
        <v>11</v>
      </c>
      <c r="D88" t="s">
        <v>15</v>
      </c>
      <c r="E88">
        <v>5</v>
      </c>
      <c r="F88">
        <v>50000</v>
      </c>
      <c r="G88">
        <v>250000</v>
      </c>
      <c r="H88">
        <f t="shared" si="2"/>
        <v>50000</v>
      </c>
    </row>
    <row r="89" spans="1:8" x14ac:dyDescent="0.3">
      <c r="A89" s="3">
        <v>45075</v>
      </c>
      <c r="B89" t="s">
        <v>7</v>
      </c>
      <c r="C89" t="s">
        <v>11</v>
      </c>
      <c r="D89" t="s">
        <v>15</v>
      </c>
      <c r="E89">
        <v>5</v>
      </c>
      <c r="F89">
        <v>50000</v>
      </c>
      <c r="G89">
        <v>250000</v>
      </c>
      <c r="H89">
        <f t="shared" si="2"/>
        <v>50000</v>
      </c>
    </row>
    <row r="90" spans="1:8" x14ac:dyDescent="0.3">
      <c r="A90" s="3">
        <v>45079</v>
      </c>
      <c r="B90" t="s">
        <v>7</v>
      </c>
      <c r="C90" t="s">
        <v>11</v>
      </c>
      <c r="D90" t="s">
        <v>15</v>
      </c>
      <c r="E90">
        <v>5</v>
      </c>
      <c r="F90">
        <v>50000</v>
      </c>
      <c r="G90">
        <v>250000</v>
      </c>
      <c r="H90">
        <f t="shared" si="2"/>
        <v>50000</v>
      </c>
    </row>
    <row r="91" spans="1:8" x14ac:dyDescent="0.3">
      <c r="A91" s="3">
        <v>45083</v>
      </c>
      <c r="B91" t="s">
        <v>7</v>
      </c>
      <c r="C91" t="s">
        <v>11</v>
      </c>
      <c r="D91" t="s">
        <v>15</v>
      </c>
      <c r="E91">
        <v>5</v>
      </c>
      <c r="F91">
        <v>50000</v>
      </c>
      <c r="G91">
        <v>250000</v>
      </c>
      <c r="H91">
        <f t="shared" si="2"/>
        <v>50000</v>
      </c>
    </row>
    <row r="92" spans="1:8" x14ac:dyDescent="0.3">
      <c r="A92" s="3">
        <v>45087</v>
      </c>
      <c r="B92" t="s">
        <v>7</v>
      </c>
      <c r="C92" t="s">
        <v>11</v>
      </c>
      <c r="D92" t="s">
        <v>15</v>
      </c>
      <c r="E92">
        <v>5</v>
      </c>
      <c r="F92">
        <v>50000</v>
      </c>
      <c r="G92">
        <v>250000</v>
      </c>
      <c r="H92">
        <f t="shared" si="2"/>
        <v>50000</v>
      </c>
    </row>
    <row r="93" spans="1:8" x14ac:dyDescent="0.3">
      <c r="A93" s="3">
        <v>45091</v>
      </c>
      <c r="B93" t="s">
        <v>7</v>
      </c>
      <c r="C93" t="s">
        <v>11</v>
      </c>
      <c r="D93" t="s">
        <v>15</v>
      </c>
      <c r="E93">
        <v>5</v>
      </c>
      <c r="F93">
        <v>50000</v>
      </c>
      <c r="G93">
        <v>250000</v>
      </c>
      <c r="H93">
        <f t="shared" si="2"/>
        <v>50000</v>
      </c>
    </row>
    <row r="94" spans="1:8" x14ac:dyDescent="0.3">
      <c r="A94" s="3">
        <v>45095</v>
      </c>
      <c r="B94" t="s">
        <v>7</v>
      </c>
      <c r="C94" t="s">
        <v>11</v>
      </c>
      <c r="D94" t="s">
        <v>15</v>
      </c>
      <c r="E94">
        <v>5</v>
      </c>
      <c r="F94">
        <v>50000</v>
      </c>
      <c r="G94">
        <v>250000</v>
      </c>
      <c r="H94">
        <f t="shared" si="2"/>
        <v>50000</v>
      </c>
    </row>
    <row r="95" spans="1:8" x14ac:dyDescent="0.3">
      <c r="A95" s="3">
        <v>45099</v>
      </c>
      <c r="B95" t="s">
        <v>7</v>
      </c>
      <c r="C95" t="s">
        <v>11</v>
      </c>
      <c r="D95" t="s">
        <v>15</v>
      </c>
      <c r="E95">
        <v>5</v>
      </c>
      <c r="F95">
        <v>50000</v>
      </c>
      <c r="G95">
        <v>250000</v>
      </c>
      <c r="H95">
        <f t="shared" si="2"/>
        <v>50000</v>
      </c>
    </row>
    <row r="96" spans="1:8" x14ac:dyDescent="0.3">
      <c r="A96" s="3">
        <v>45103</v>
      </c>
      <c r="B96" t="s">
        <v>7</v>
      </c>
      <c r="C96" t="s">
        <v>11</v>
      </c>
      <c r="D96" t="s">
        <v>15</v>
      </c>
      <c r="E96">
        <v>5</v>
      </c>
      <c r="F96">
        <v>50000</v>
      </c>
      <c r="G96">
        <v>250000</v>
      </c>
      <c r="H96">
        <f t="shared" si="2"/>
        <v>50000</v>
      </c>
    </row>
    <row r="97" spans="1:8" x14ac:dyDescent="0.3">
      <c r="A97" s="3">
        <v>45107</v>
      </c>
      <c r="B97" t="s">
        <v>7</v>
      </c>
      <c r="C97" t="s">
        <v>11</v>
      </c>
      <c r="D97" t="s">
        <v>15</v>
      </c>
      <c r="E97">
        <v>5</v>
      </c>
      <c r="F97">
        <v>50000</v>
      </c>
      <c r="G97">
        <v>250000</v>
      </c>
      <c r="H97">
        <f t="shared" si="2"/>
        <v>50000</v>
      </c>
    </row>
    <row r="98" spans="1:8" x14ac:dyDescent="0.3">
      <c r="A98" s="3">
        <v>45111</v>
      </c>
      <c r="B98" t="s">
        <v>7</v>
      </c>
      <c r="C98" t="s">
        <v>11</v>
      </c>
      <c r="D98" t="s">
        <v>15</v>
      </c>
      <c r="E98">
        <v>5</v>
      </c>
      <c r="F98">
        <v>50000</v>
      </c>
      <c r="G98">
        <v>250000</v>
      </c>
      <c r="H98">
        <f t="shared" ref="H98:H129" si="3">G98*0.2</f>
        <v>50000</v>
      </c>
    </row>
    <row r="99" spans="1:8" x14ac:dyDescent="0.3">
      <c r="A99" s="3">
        <v>45115</v>
      </c>
      <c r="B99" t="s">
        <v>7</v>
      </c>
      <c r="C99" t="s">
        <v>11</v>
      </c>
      <c r="D99" t="s">
        <v>15</v>
      </c>
      <c r="E99">
        <v>5</v>
      </c>
      <c r="F99">
        <v>50000</v>
      </c>
      <c r="G99">
        <v>250000</v>
      </c>
      <c r="H99">
        <f t="shared" si="3"/>
        <v>50000</v>
      </c>
    </row>
    <row r="100" spans="1:8" x14ac:dyDescent="0.3">
      <c r="A100" s="3">
        <v>45119</v>
      </c>
      <c r="B100" t="s">
        <v>7</v>
      </c>
      <c r="C100" t="s">
        <v>11</v>
      </c>
      <c r="D100" t="s">
        <v>15</v>
      </c>
      <c r="E100">
        <v>5</v>
      </c>
      <c r="F100">
        <v>50000</v>
      </c>
      <c r="G100">
        <v>250000</v>
      </c>
      <c r="H100">
        <f t="shared" si="3"/>
        <v>50000</v>
      </c>
    </row>
    <row r="101" spans="1:8" x14ac:dyDescent="0.3">
      <c r="A101" s="3">
        <v>45123</v>
      </c>
      <c r="B101" t="s">
        <v>7</v>
      </c>
      <c r="C101" t="s">
        <v>11</v>
      </c>
      <c r="D101" t="s">
        <v>15</v>
      </c>
      <c r="E101">
        <v>5</v>
      </c>
      <c r="F101">
        <v>50000</v>
      </c>
      <c r="G101">
        <v>250000</v>
      </c>
      <c r="H101">
        <f t="shared" si="3"/>
        <v>50000</v>
      </c>
    </row>
    <row r="102" spans="1:8" x14ac:dyDescent="0.3">
      <c r="A102" s="3">
        <v>44929</v>
      </c>
      <c r="B102" t="s">
        <v>9</v>
      </c>
      <c r="C102" t="s">
        <v>13</v>
      </c>
      <c r="D102" t="s">
        <v>17</v>
      </c>
      <c r="E102">
        <v>12</v>
      </c>
      <c r="F102">
        <v>60</v>
      </c>
      <c r="G102">
        <v>720</v>
      </c>
      <c r="H102">
        <f t="shared" si="3"/>
        <v>144</v>
      </c>
    </row>
    <row r="103" spans="1:8" x14ac:dyDescent="0.3">
      <c r="A103" s="3">
        <v>44933</v>
      </c>
      <c r="B103" t="s">
        <v>9</v>
      </c>
      <c r="C103" t="s">
        <v>13</v>
      </c>
      <c r="D103" t="s">
        <v>17</v>
      </c>
      <c r="E103">
        <v>12</v>
      </c>
      <c r="F103">
        <v>60</v>
      </c>
      <c r="G103">
        <v>720</v>
      </c>
      <c r="H103">
        <f t="shared" si="3"/>
        <v>144</v>
      </c>
    </row>
    <row r="104" spans="1:8" x14ac:dyDescent="0.3">
      <c r="A104" s="3">
        <v>44937</v>
      </c>
      <c r="B104" t="s">
        <v>9</v>
      </c>
      <c r="C104" t="s">
        <v>13</v>
      </c>
      <c r="D104" t="s">
        <v>17</v>
      </c>
      <c r="E104">
        <v>12</v>
      </c>
      <c r="F104">
        <v>60</v>
      </c>
      <c r="G104">
        <v>720</v>
      </c>
      <c r="H104">
        <f t="shared" si="3"/>
        <v>144</v>
      </c>
    </row>
    <row r="105" spans="1:8" x14ac:dyDescent="0.3">
      <c r="A105" s="3">
        <v>44941</v>
      </c>
      <c r="B105" t="s">
        <v>9</v>
      </c>
      <c r="C105" t="s">
        <v>13</v>
      </c>
      <c r="D105" t="s">
        <v>17</v>
      </c>
      <c r="E105">
        <v>12</v>
      </c>
      <c r="F105">
        <v>60</v>
      </c>
      <c r="G105">
        <v>720</v>
      </c>
      <c r="H105">
        <f t="shared" si="3"/>
        <v>144</v>
      </c>
    </row>
    <row r="106" spans="1:8" x14ac:dyDescent="0.3">
      <c r="A106" s="3">
        <v>44945</v>
      </c>
      <c r="B106" t="s">
        <v>9</v>
      </c>
      <c r="C106" t="s">
        <v>13</v>
      </c>
      <c r="D106" t="s">
        <v>17</v>
      </c>
      <c r="E106">
        <v>12</v>
      </c>
      <c r="F106">
        <v>60</v>
      </c>
      <c r="G106">
        <v>720</v>
      </c>
      <c r="H106">
        <f t="shared" si="3"/>
        <v>144</v>
      </c>
    </row>
    <row r="107" spans="1:8" x14ac:dyDescent="0.3">
      <c r="A107" s="3">
        <v>44949</v>
      </c>
      <c r="B107" t="s">
        <v>9</v>
      </c>
      <c r="C107" t="s">
        <v>13</v>
      </c>
      <c r="D107" t="s">
        <v>17</v>
      </c>
      <c r="E107">
        <v>12</v>
      </c>
      <c r="F107">
        <v>60</v>
      </c>
      <c r="G107">
        <v>720</v>
      </c>
      <c r="H107">
        <f t="shared" si="3"/>
        <v>144</v>
      </c>
    </row>
    <row r="108" spans="1:8" x14ac:dyDescent="0.3">
      <c r="A108" s="3">
        <v>44953</v>
      </c>
      <c r="B108" t="s">
        <v>9</v>
      </c>
      <c r="C108" t="s">
        <v>13</v>
      </c>
      <c r="D108" t="s">
        <v>17</v>
      </c>
      <c r="E108">
        <v>12</v>
      </c>
      <c r="F108">
        <v>60</v>
      </c>
      <c r="G108">
        <v>720</v>
      </c>
      <c r="H108">
        <f t="shared" si="3"/>
        <v>144</v>
      </c>
    </row>
    <row r="109" spans="1:8" x14ac:dyDescent="0.3">
      <c r="A109" s="3">
        <v>44957</v>
      </c>
      <c r="B109" t="s">
        <v>9</v>
      </c>
      <c r="C109" t="s">
        <v>13</v>
      </c>
      <c r="D109" t="s">
        <v>17</v>
      </c>
      <c r="E109">
        <v>12</v>
      </c>
      <c r="F109">
        <v>60</v>
      </c>
      <c r="G109">
        <v>720</v>
      </c>
      <c r="H109">
        <f t="shared" si="3"/>
        <v>144</v>
      </c>
    </row>
    <row r="110" spans="1:8" x14ac:dyDescent="0.3">
      <c r="A110" s="3">
        <v>44961</v>
      </c>
      <c r="B110" t="s">
        <v>9</v>
      </c>
      <c r="C110" t="s">
        <v>13</v>
      </c>
      <c r="D110" t="s">
        <v>17</v>
      </c>
      <c r="E110">
        <v>12</v>
      </c>
      <c r="F110">
        <v>60</v>
      </c>
      <c r="G110">
        <v>720</v>
      </c>
      <c r="H110">
        <f t="shared" si="3"/>
        <v>144</v>
      </c>
    </row>
    <row r="111" spans="1:8" x14ac:dyDescent="0.3">
      <c r="A111" s="3">
        <v>44965</v>
      </c>
      <c r="B111" t="s">
        <v>9</v>
      </c>
      <c r="C111" t="s">
        <v>13</v>
      </c>
      <c r="D111" t="s">
        <v>17</v>
      </c>
      <c r="E111">
        <v>12</v>
      </c>
      <c r="F111">
        <v>60</v>
      </c>
      <c r="G111">
        <v>720</v>
      </c>
      <c r="H111">
        <f t="shared" si="3"/>
        <v>144</v>
      </c>
    </row>
    <row r="112" spans="1:8" x14ac:dyDescent="0.3">
      <c r="A112" s="3">
        <v>44969</v>
      </c>
      <c r="B112" t="s">
        <v>9</v>
      </c>
      <c r="C112" t="s">
        <v>13</v>
      </c>
      <c r="D112" t="s">
        <v>17</v>
      </c>
      <c r="E112">
        <v>12</v>
      </c>
      <c r="F112">
        <v>60</v>
      </c>
      <c r="G112">
        <v>720</v>
      </c>
      <c r="H112">
        <f t="shared" si="3"/>
        <v>144</v>
      </c>
    </row>
    <row r="113" spans="1:8" x14ac:dyDescent="0.3">
      <c r="A113" s="3">
        <v>44973</v>
      </c>
      <c r="B113" t="s">
        <v>9</v>
      </c>
      <c r="C113" t="s">
        <v>13</v>
      </c>
      <c r="D113" t="s">
        <v>17</v>
      </c>
      <c r="E113">
        <v>12</v>
      </c>
      <c r="F113">
        <v>60</v>
      </c>
      <c r="G113">
        <v>720</v>
      </c>
      <c r="H113">
        <f t="shared" si="3"/>
        <v>144</v>
      </c>
    </row>
    <row r="114" spans="1:8" x14ac:dyDescent="0.3">
      <c r="A114" s="3">
        <v>44977</v>
      </c>
      <c r="B114" t="s">
        <v>9</v>
      </c>
      <c r="C114" t="s">
        <v>13</v>
      </c>
      <c r="D114" t="s">
        <v>17</v>
      </c>
      <c r="E114">
        <v>12</v>
      </c>
      <c r="F114">
        <v>60</v>
      </c>
      <c r="G114">
        <v>720</v>
      </c>
      <c r="H114">
        <f t="shared" si="3"/>
        <v>144</v>
      </c>
    </row>
    <row r="115" spans="1:8" x14ac:dyDescent="0.3">
      <c r="A115" s="3">
        <v>44981</v>
      </c>
      <c r="B115" t="s">
        <v>9</v>
      </c>
      <c r="C115" t="s">
        <v>13</v>
      </c>
      <c r="D115" t="s">
        <v>17</v>
      </c>
      <c r="E115">
        <v>12</v>
      </c>
      <c r="F115">
        <v>60</v>
      </c>
      <c r="G115">
        <v>720</v>
      </c>
      <c r="H115">
        <f t="shared" si="3"/>
        <v>144</v>
      </c>
    </row>
    <row r="116" spans="1:8" x14ac:dyDescent="0.3">
      <c r="A116" s="3">
        <v>44985</v>
      </c>
      <c r="B116" t="s">
        <v>9</v>
      </c>
      <c r="C116" t="s">
        <v>13</v>
      </c>
      <c r="D116" t="s">
        <v>17</v>
      </c>
      <c r="E116">
        <v>12</v>
      </c>
      <c r="F116">
        <v>60</v>
      </c>
      <c r="G116">
        <v>720</v>
      </c>
      <c r="H116">
        <f t="shared" si="3"/>
        <v>144</v>
      </c>
    </row>
    <row r="117" spans="1:8" x14ac:dyDescent="0.3">
      <c r="A117" s="3">
        <v>44989</v>
      </c>
      <c r="B117" t="s">
        <v>9</v>
      </c>
      <c r="C117" t="s">
        <v>13</v>
      </c>
      <c r="D117" t="s">
        <v>17</v>
      </c>
      <c r="E117">
        <v>12</v>
      </c>
      <c r="F117">
        <v>60</v>
      </c>
      <c r="G117">
        <v>720</v>
      </c>
      <c r="H117">
        <f t="shared" si="3"/>
        <v>144</v>
      </c>
    </row>
    <row r="118" spans="1:8" x14ac:dyDescent="0.3">
      <c r="A118" s="3">
        <v>44993</v>
      </c>
      <c r="B118" t="s">
        <v>9</v>
      </c>
      <c r="C118" t="s">
        <v>13</v>
      </c>
      <c r="D118" t="s">
        <v>17</v>
      </c>
      <c r="E118">
        <v>12</v>
      </c>
      <c r="F118">
        <v>60</v>
      </c>
      <c r="G118">
        <v>720</v>
      </c>
      <c r="H118">
        <f t="shared" si="3"/>
        <v>144</v>
      </c>
    </row>
    <row r="119" spans="1:8" x14ac:dyDescent="0.3">
      <c r="A119" s="3">
        <v>44997</v>
      </c>
      <c r="B119" t="s">
        <v>9</v>
      </c>
      <c r="C119" t="s">
        <v>13</v>
      </c>
      <c r="D119" t="s">
        <v>17</v>
      </c>
      <c r="E119">
        <v>12</v>
      </c>
      <c r="F119">
        <v>60</v>
      </c>
      <c r="G119">
        <v>720</v>
      </c>
      <c r="H119">
        <f t="shared" si="3"/>
        <v>144</v>
      </c>
    </row>
    <row r="120" spans="1:8" x14ac:dyDescent="0.3">
      <c r="A120" s="3">
        <v>45001</v>
      </c>
      <c r="B120" t="s">
        <v>9</v>
      </c>
      <c r="C120" t="s">
        <v>13</v>
      </c>
      <c r="D120" t="s">
        <v>17</v>
      </c>
      <c r="E120">
        <v>12</v>
      </c>
      <c r="F120">
        <v>60</v>
      </c>
      <c r="G120">
        <v>720</v>
      </c>
      <c r="H120">
        <f t="shared" si="3"/>
        <v>144</v>
      </c>
    </row>
    <row r="121" spans="1:8" x14ac:dyDescent="0.3">
      <c r="A121" s="3">
        <v>45005</v>
      </c>
      <c r="B121" t="s">
        <v>9</v>
      </c>
      <c r="C121" t="s">
        <v>13</v>
      </c>
      <c r="D121" t="s">
        <v>17</v>
      </c>
      <c r="E121">
        <v>12</v>
      </c>
      <c r="F121">
        <v>60</v>
      </c>
      <c r="G121">
        <v>720</v>
      </c>
      <c r="H121">
        <f t="shared" si="3"/>
        <v>144</v>
      </c>
    </row>
    <row r="122" spans="1:8" x14ac:dyDescent="0.3">
      <c r="A122" s="3">
        <v>45009</v>
      </c>
      <c r="B122" t="s">
        <v>9</v>
      </c>
      <c r="C122" t="s">
        <v>13</v>
      </c>
      <c r="D122" t="s">
        <v>17</v>
      </c>
      <c r="E122">
        <v>12</v>
      </c>
      <c r="F122">
        <v>60</v>
      </c>
      <c r="G122">
        <v>720</v>
      </c>
      <c r="H122">
        <f t="shared" si="3"/>
        <v>144</v>
      </c>
    </row>
    <row r="123" spans="1:8" x14ac:dyDescent="0.3">
      <c r="A123" s="3">
        <v>45013</v>
      </c>
      <c r="B123" t="s">
        <v>9</v>
      </c>
      <c r="C123" t="s">
        <v>13</v>
      </c>
      <c r="D123" t="s">
        <v>17</v>
      </c>
      <c r="E123">
        <v>12</v>
      </c>
      <c r="F123">
        <v>60</v>
      </c>
      <c r="G123">
        <v>720</v>
      </c>
      <c r="H123">
        <f t="shared" si="3"/>
        <v>144</v>
      </c>
    </row>
    <row r="124" spans="1:8" x14ac:dyDescent="0.3">
      <c r="A124" s="3">
        <v>45017</v>
      </c>
      <c r="B124" t="s">
        <v>9</v>
      </c>
      <c r="C124" t="s">
        <v>13</v>
      </c>
      <c r="D124" t="s">
        <v>17</v>
      </c>
      <c r="E124">
        <v>12</v>
      </c>
      <c r="F124">
        <v>60</v>
      </c>
      <c r="G124">
        <v>720</v>
      </c>
      <c r="H124">
        <f t="shared" si="3"/>
        <v>144</v>
      </c>
    </row>
    <row r="125" spans="1:8" x14ac:dyDescent="0.3">
      <c r="A125" s="3">
        <v>45021</v>
      </c>
      <c r="B125" t="s">
        <v>9</v>
      </c>
      <c r="C125" t="s">
        <v>13</v>
      </c>
      <c r="D125" t="s">
        <v>17</v>
      </c>
      <c r="E125">
        <v>12</v>
      </c>
      <c r="F125">
        <v>60</v>
      </c>
      <c r="G125">
        <v>720</v>
      </c>
      <c r="H125">
        <f t="shared" si="3"/>
        <v>144</v>
      </c>
    </row>
    <row r="126" spans="1:8" x14ac:dyDescent="0.3">
      <c r="A126" s="3">
        <v>45025</v>
      </c>
      <c r="B126" t="s">
        <v>9</v>
      </c>
      <c r="C126" t="s">
        <v>13</v>
      </c>
      <c r="D126" t="s">
        <v>17</v>
      </c>
      <c r="E126">
        <v>12</v>
      </c>
      <c r="F126">
        <v>60</v>
      </c>
      <c r="G126">
        <v>720</v>
      </c>
      <c r="H126">
        <f t="shared" si="3"/>
        <v>144</v>
      </c>
    </row>
    <row r="127" spans="1:8" x14ac:dyDescent="0.3">
      <c r="A127" s="3">
        <v>45029</v>
      </c>
      <c r="B127" t="s">
        <v>9</v>
      </c>
      <c r="C127" t="s">
        <v>13</v>
      </c>
      <c r="D127" t="s">
        <v>17</v>
      </c>
      <c r="E127">
        <v>12</v>
      </c>
      <c r="F127">
        <v>60</v>
      </c>
      <c r="G127">
        <v>720</v>
      </c>
      <c r="H127">
        <f t="shared" si="3"/>
        <v>144</v>
      </c>
    </row>
    <row r="128" spans="1:8" x14ac:dyDescent="0.3">
      <c r="A128" s="3">
        <v>45033</v>
      </c>
      <c r="B128" t="s">
        <v>9</v>
      </c>
      <c r="C128" t="s">
        <v>13</v>
      </c>
      <c r="D128" t="s">
        <v>17</v>
      </c>
      <c r="E128">
        <v>12</v>
      </c>
      <c r="F128">
        <v>60</v>
      </c>
      <c r="G128">
        <v>720</v>
      </c>
      <c r="H128">
        <f t="shared" si="3"/>
        <v>144</v>
      </c>
    </row>
    <row r="129" spans="1:8" x14ac:dyDescent="0.3">
      <c r="A129" s="3">
        <v>45037</v>
      </c>
      <c r="B129" t="s">
        <v>9</v>
      </c>
      <c r="C129" t="s">
        <v>13</v>
      </c>
      <c r="D129" t="s">
        <v>17</v>
      </c>
      <c r="E129">
        <v>12</v>
      </c>
      <c r="F129">
        <v>60</v>
      </c>
      <c r="G129">
        <v>720</v>
      </c>
      <c r="H129">
        <f t="shared" si="3"/>
        <v>144</v>
      </c>
    </row>
    <row r="130" spans="1:8" x14ac:dyDescent="0.3">
      <c r="A130" s="3">
        <v>45041</v>
      </c>
      <c r="B130" t="s">
        <v>9</v>
      </c>
      <c r="C130" t="s">
        <v>13</v>
      </c>
      <c r="D130" t="s">
        <v>17</v>
      </c>
      <c r="E130">
        <v>12</v>
      </c>
      <c r="F130">
        <v>60</v>
      </c>
      <c r="G130">
        <v>720</v>
      </c>
      <c r="H130">
        <f t="shared" ref="H130:H161" si="4">G130*0.2</f>
        <v>144</v>
      </c>
    </row>
    <row r="131" spans="1:8" x14ac:dyDescent="0.3">
      <c r="A131" s="3">
        <v>45045</v>
      </c>
      <c r="B131" t="s">
        <v>9</v>
      </c>
      <c r="C131" t="s">
        <v>13</v>
      </c>
      <c r="D131" t="s">
        <v>17</v>
      </c>
      <c r="E131">
        <v>12</v>
      </c>
      <c r="F131">
        <v>60</v>
      </c>
      <c r="G131">
        <v>720</v>
      </c>
      <c r="H131">
        <f t="shared" si="4"/>
        <v>144</v>
      </c>
    </row>
    <row r="132" spans="1:8" x14ac:dyDescent="0.3">
      <c r="A132" s="3">
        <v>45049</v>
      </c>
      <c r="B132" t="s">
        <v>9</v>
      </c>
      <c r="C132" t="s">
        <v>13</v>
      </c>
      <c r="D132" t="s">
        <v>17</v>
      </c>
      <c r="E132">
        <v>12</v>
      </c>
      <c r="F132">
        <v>60</v>
      </c>
      <c r="G132">
        <v>720</v>
      </c>
      <c r="H132">
        <f t="shared" si="4"/>
        <v>144</v>
      </c>
    </row>
    <row r="133" spans="1:8" x14ac:dyDescent="0.3">
      <c r="A133" s="3">
        <v>45053</v>
      </c>
      <c r="B133" t="s">
        <v>9</v>
      </c>
      <c r="C133" t="s">
        <v>13</v>
      </c>
      <c r="D133" t="s">
        <v>17</v>
      </c>
      <c r="E133">
        <v>12</v>
      </c>
      <c r="F133">
        <v>60</v>
      </c>
      <c r="G133">
        <v>720</v>
      </c>
      <c r="H133">
        <f t="shared" si="4"/>
        <v>144</v>
      </c>
    </row>
    <row r="134" spans="1:8" x14ac:dyDescent="0.3">
      <c r="A134" s="3">
        <v>45057</v>
      </c>
      <c r="B134" t="s">
        <v>9</v>
      </c>
      <c r="C134" t="s">
        <v>13</v>
      </c>
      <c r="D134" t="s">
        <v>17</v>
      </c>
      <c r="E134">
        <v>12</v>
      </c>
      <c r="F134">
        <v>60</v>
      </c>
      <c r="G134">
        <v>720</v>
      </c>
      <c r="H134">
        <f t="shared" si="4"/>
        <v>144</v>
      </c>
    </row>
    <row r="135" spans="1:8" x14ac:dyDescent="0.3">
      <c r="A135" s="3">
        <v>45061</v>
      </c>
      <c r="B135" t="s">
        <v>9</v>
      </c>
      <c r="C135" t="s">
        <v>13</v>
      </c>
      <c r="D135" t="s">
        <v>17</v>
      </c>
      <c r="E135">
        <v>12</v>
      </c>
      <c r="F135">
        <v>60</v>
      </c>
      <c r="G135">
        <v>720</v>
      </c>
      <c r="H135">
        <f t="shared" si="4"/>
        <v>144</v>
      </c>
    </row>
    <row r="136" spans="1:8" x14ac:dyDescent="0.3">
      <c r="A136" s="3">
        <v>45065</v>
      </c>
      <c r="B136" t="s">
        <v>9</v>
      </c>
      <c r="C136" t="s">
        <v>13</v>
      </c>
      <c r="D136" t="s">
        <v>17</v>
      </c>
      <c r="E136">
        <v>12</v>
      </c>
      <c r="F136">
        <v>60</v>
      </c>
      <c r="G136">
        <v>720</v>
      </c>
      <c r="H136">
        <f t="shared" si="4"/>
        <v>144</v>
      </c>
    </row>
    <row r="137" spans="1:8" x14ac:dyDescent="0.3">
      <c r="A137" s="3">
        <v>45069</v>
      </c>
      <c r="B137" t="s">
        <v>9</v>
      </c>
      <c r="C137" t="s">
        <v>13</v>
      </c>
      <c r="D137" t="s">
        <v>17</v>
      </c>
      <c r="E137">
        <v>12</v>
      </c>
      <c r="F137">
        <v>60</v>
      </c>
      <c r="G137">
        <v>720</v>
      </c>
      <c r="H137">
        <f t="shared" si="4"/>
        <v>144</v>
      </c>
    </row>
    <row r="138" spans="1:8" x14ac:dyDescent="0.3">
      <c r="A138" s="3">
        <v>45073</v>
      </c>
      <c r="B138" t="s">
        <v>9</v>
      </c>
      <c r="C138" t="s">
        <v>13</v>
      </c>
      <c r="D138" t="s">
        <v>17</v>
      </c>
      <c r="E138">
        <v>12</v>
      </c>
      <c r="F138">
        <v>60</v>
      </c>
      <c r="G138">
        <v>720</v>
      </c>
      <c r="H138">
        <f t="shared" si="4"/>
        <v>144</v>
      </c>
    </row>
    <row r="139" spans="1:8" x14ac:dyDescent="0.3">
      <c r="A139" s="3">
        <v>45077</v>
      </c>
      <c r="B139" t="s">
        <v>9</v>
      </c>
      <c r="C139" t="s">
        <v>13</v>
      </c>
      <c r="D139" t="s">
        <v>17</v>
      </c>
      <c r="E139">
        <v>12</v>
      </c>
      <c r="F139">
        <v>60</v>
      </c>
      <c r="G139">
        <v>720</v>
      </c>
      <c r="H139">
        <f t="shared" si="4"/>
        <v>144</v>
      </c>
    </row>
    <row r="140" spans="1:8" x14ac:dyDescent="0.3">
      <c r="A140" s="3">
        <v>45081</v>
      </c>
      <c r="B140" t="s">
        <v>9</v>
      </c>
      <c r="C140" t="s">
        <v>13</v>
      </c>
      <c r="D140" t="s">
        <v>17</v>
      </c>
      <c r="E140">
        <v>12</v>
      </c>
      <c r="F140">
        <v>60</v>
      </c>
      <c r="G140">
        <v>720</v>
      </c>
      <c r="H140">
        <f t="shared" si="4"/>
        <v>144</v>
      </c>
    </row>
    <row r="141" spans="1:8" x14ac:dyDescent="0.3">
      <c r="A141" s="3">
        <v>45085</v>
      </c>
      <c r="B141" t="s">
        <v>9</v>
      </c>
      <c r="C141" t="s">
        <v>13</v>
      </c>
      <c r="D141" t="s">
        <v>17</v>
      </c>
      <c r="E141">
        <v>12</v>
      </c>
      <c r="F141">
        <v>60</v>
      </c>
      <c r="G141">
        <v>720</v>
      </c>
      <c r="H141">
        <f t="shared" si="4"/>
        <v>144</v>
      </c>
    </row>
    <row r="142" spans="1:8" x14ac:dyDescent="0.3">
      <c r="A142" s="3">
        <v>45089</v>
      </c>
      <c r="B142" t="s">
        <v>9</v>
      </c>
      <c r="C142" t="s">
        <v>13</v>
      </c>
      <c r="D142" t="s">
        <v>17</v>
      </c>
      <c r="E142">
        <v>12</v>
      </c>
      <c r="F142">
        <v>60</v>
      </c>
      <c r="G142">
        <v>720</v>
      </c>
      <c r="H142">
        <f t="shared" si="4"/>
        <v>144</v>
      </c>
    </row>
    <row r="143" spans="1:8" x14ac:dyDescent="0.3">
      <c r="A143" s="3">
        <v>45093</v>
      </c>
      <c r="B143" t="s">
        <v>9</v>
      </c>
      <c r="C143" t="s">
        <v>13</v>
      </c>
      <c r="D143" t="s">
        <v>17</v>
      </c>
      <c r="E143">
        <v>12</v>
      </c>
      <c r="F143">
        <v>60</v>
      </c>
      <c r="G143">
        <v>720</v>
      </c>
      <c r="H143">
        <f t="shared" si="4"/>
        <v>144</v>
      </c>
    </row>
    <row r="144" spans="1:8" x14ac:dyDescent="0.3">
      <c r="A144" s="3">
        <v>45097</v>
      </c>
      <c r="B144" t="s">
        <v>9</v>
      </c>
      <c r="C144" t="s">
        <v>13</v>
      </c>
      <c r="D144" t="s">
        <v>17</v>
      </c>
      <c r="E144">
        <v>12</v>
      </c>
      <c r="F144">
        <v>60</v>
      </c>
      <c r="G144">
        <v>720</v>
      </c>
      <c r="H144">
        <f t="shared" si="4"/>
        <v>144</v>
      </c>
    </row>
    <row r="145" spans="1:8" x14ac:dyDescent="0.3">
      <c r="A145" s="3">
        <v>45101</v>
      </c>
      <c r="B145" t="s">
        <v>9</v>
      </c>
      <c r="C145" t="s">
        <v>13</v>
      </c>
      <c r="D145" t="s">
        <v>17</v>
      </c>
      <c r="E145">
        <v>12</v>
      </c>
      <c r="F145">
        <v>60</v>
      </c>
      <c r="G145">
        <v>720</v>
      </c>
      <c r="H145">
        <f t="shared" si="4"/>
        <v>144</v>
      </c>
    </row>
    <row r="146" spans="1:8" x14ac:dyDescent="0.3">
      <c r="A146" s="3">
        <v>45105</v>
      </c>
      <c r="B146" t="s">
        <v>9</v>
      </c>
      <c r="C146" t="s">
        <v>13</v>
      </c>
      <c r="D146" t="s">
        <v>17</v>
      </c>
      <c r="E146">
        <v>12</v>
      </c>
      <c r="F146">
        <v>60</v>
      </c>
      <c r="G146">
        <v>720</v>
      </c>
      <c r="H146">
        <f t="shared" si="4"/>
        <v>144</v>
      </c>
    </row>
    <row r="147" spans="1:8" x14ac:dyDescent="0.3">
      <c r="A147" s="3">
        <v>45109</v>
      </c>
      <c r="B147" t="s">
        <v>9</v>
      </c>
      <c r="C147" t="s">
        <v>13</v>
      </c>
      <c r="D147" t="s">
        <v>17</v>
      </c>
      <c r="E147">
        <v>12</v>
      </c>
      <c r="F147">
        <v>60</v>
      </c>
      <c r="G147">
        <v>720</v>
      </c>
      <c r="H147">
        <f t="shared" si="4"/>
        <v>144</v>
      </c>
    </row>
    <row r="148" spans="1:8" x14ac:dyDescent="0.3">
      <c r="A148" s="3">
        <v>45113</v>
      </c>
      <c r="B148" t="s">
        <v>9</v>
      </c>
      <c r="C148" t="s">
        <v>13</v>
      </c>
      <c r="D148" t="s">
        <v>17</v>
      </c>
      <c r="E148">
        <v>12</v>
      </c>
      <c r="F148">
        <v>60</v>
      </c>
      <c r="G148">
        <v>720</v>
      </c>
      <c r="H148">
        <f t="shared" si="4"/>
        <v>144</v>
      </c>
    </row>
    <row r="149" spans="1:8" x14ac:dyDescent="0.3">
      <c r="A149" s="3">
        <v>45117</v>
      </c>
      <c r="B149" t="s">
        <v>9</v>
      </c>
      <c r="C149" t="s">
        <v>13</v>
      </c>
      <c r="D149" t="s">
        <v>17</v>
      </c>
      <c r="E149">
        <v>12</v>
      </c>
      <c r="F149">
        <v>60</v>
      </c>
      <c r="G149">
        <v>720</v>
      </c>
      <c r="H149">
        <f t="shared" si="4"/>
        <v>144</v>
      </c>
    </row>
    <row r="150" spans="1:8" x14ac:dyDescent="0.3">
      <c r="A150" s="3">
        <v>45121</v>
      </c>
      <c r="B150" t="s">
        <v>9</v>
      </c>
      <c r="C150" t="s">
        <v>13</v>
      </c>
      <c r="D150" t="s">
        <v>17</v>
      </c>
      <c r="E150">
        <v>12</v>
      </c>
      <c r="F150">
        <v>60</v>
      </c>
      <c r="G150">
        <v>720</v>
      </c>
      <c r="H150">
        <f t="shared" si="4"/>
        <v>144</v>
      </c>
    </row>
    <row r="151" spans="1:8" x14ac:dyDescent="0.3">
      <c r="A151" s="3">
        <v>45125</v>
      </c>
      <c r="B151" t="s">
        <v>9</v>
      </c>
      <c r="C151" t="s">
        <v>13</v>
      </c>
      <c r="D151" t="s">
        <v>17</v>
      </c>
      <c r="E151">
        <v>12</v>
      </c>
      <c r="F151">
        <v>60</v>
      </c>
      <c r="G151">
        <v>720</v>
      </c>
      <c r="H151">
        <f t="shared" si="4"/>
        <v>144</v>
      </c>
    </row>
    <row r="152" spans="1:8" x14ac:dyDescent="0.3">
      <c r="A152" s="3">
        <v>44928</v>
      </c>
      <c r="B152" t="s">
        <v>8</v>
      </c>
      <c r="C152" t="s">
        <v>12</v>
      </c>
      <c r="D152" t="s">
        <v>16</v>
      </c>
      <c r="E152">
        <v>8</v>
      </c>
      <c r="F152">
        <v>800</v>
      </c>
      <c r="G152">
        <v>6400</v>
      </c>
      <c r="H152">
        <f t="shared" si="4"/>
        <v>1280</v>
      </c>
    </row>
    <row r="153" spans="1:8" x14ac:dyDescent="0.3">
      <c r="A153" s="3">
        <v>44932</v>
      </c>
      <c r="B153" t="s">
        <v>8</v>
      </c>
      <c r="C153" t="s">
        <v>12</v>
      </c>
      <c r="D153" t="s">
        <v>16</v>
      </c>
      <c r="E153">
        <v>8</v>
      </c>
      <c r="F153">
        <v>800</v>
      </c>
      <c r="G153">
        <v>6400</v>
      </c>
      <c r="H153">
        <f t="shared" si="4"/>
        <v>1280</v>
      </c>
    </row>
    <row r="154" spans="1:8" x14ac:dyDescent="0.3">
      <c r="A154" s="3">
        <v>44936</v>
      </c>
      <c r="B154" t="s">
        <v>8</v>
      </c>
      <c r="C154" t="s">
        <v>12</v>
      </c>
      <c r="D154" t="s">
        <v>16</v>
      </c>
      <c r="E154">
        <v>8</v>
      </c>
      <c r="F154">
        <v>800</v>
      </c>
      <c r="G154">
        <v>6400</v>
      </c>
      <c r="H154">
        <f t="shared" si="4"/>
        <v>1280</v>
      </c>
    </row>
    <row r="155" spans="1:8" x14ac:dyDescent="0.3">
      <c r="A155" s="3">
        <v>44940</v>
      </c>
      <c r="B155" t="s">
        <v>8</v>
      </c>
      <c r="C155" t="s">
        <v>12</v>
      </c>
      <c r="D155" t="s">
        <v>16</v>
      </c>
      <c r="E155">
        <v>8</v>
      </c>
      <c r="F155">
        <v>800</v>
      </c>
      <c r="G155">
        <v>6400</v>
      </c>
      <c r="H155">
        <f t="shared" si="4"/>
        <v>1280</v>
      </c>
    </row>
    <row r="156" spans="1:8" x14ac:dyDescent="0.3">
      <c r="A156" s="3">
        <v>44944</v>
      </c>
      <c r="B156" t="s">
        <v>8</v>
      </c>
      <c r="C156" t="s">
        <v>12</v>
      </c>
      <c r="D156" t="s">
        <v>16</v>
      </c>
      <c r="E156">
        <v>8</v>
      </c>
      <c r="F156">
        <v>800</v>
      </c>
      <c r="G156">
        <v>6400</v>
      </c>
      <c r="H156">
        <f t="shared" si="4"/>
        <v>1280</v>
      </c>
    </row>
    <row r="157" spans="1:8" x14ac:dyDescent="0.3">
      <c r="A157" s="3">
        <v>44948</v>
      </c>
      <c r="B157" t="s">
        <v>8</v>
      </c>
      <c r="C157" t="s">
        <v>12</v>
      </c>
      <c r="D157" t="s">
        <v>16</v>
      </c>
      <c r="E157">
        <v>8</v>
      </c>
      <c r="F157">
        <v>800</v>
      </c>
      <c r="G157">
        <v>6400</v>
      </c>
      <c r="H157">
        <f t="shared" si="4"/>
        <v>1280</v>
      </c>
    </row>
    <row r="158" spans="1:8" x14ac:dyDescent="0.3">
      <c r="A158" s="3">
        <v>44952</v>
      </c>
      <c r="B158" t="s">
        <v>8</v>
      </c>
      <c r="C158" t="s">
        <v>12</v>
      </c>
      <c r="D158" t="s">
        <v>16</v>
      </c>
      <c r="E158">
        <v>8</v>
      </c>
      <c r="F158">
        <v>800</v>
      </c>
      <c r="G158">
        <v>6400</v>
      </c>
      <c r="H158">
        <f t="shared" si="4"/>
        <v>1280</v>
      </c>
    </row>
    <row r="159" spans="1:8" x14ac:dyDescent="0.3">
      <c r="A159" s="3">
        <v>44956</v>
      </c>
      <c r="B159" t="s">
        <v>8</v>
      </c>
      <c r="C159" t="s">
        <v>12</v>
      </c>
      <c r="D159" t="s">
        <v>16</v>
      </c>
      <c r="E159">
        <v>8</v>
      </c>
      <c r="F159">
        <v>800</v>
      </c>
      <c r="G159">
        <v>6400</v>
      </c>
      <c r="H159">
        <f t="shared" si="4"/>
        <v>1280</v>
      </c>
    </row>
    <row r="160" spans="1:8" x14ac:dyDescent="0.3">
      <c r="A160" s="3">
        <v>44960</v>
      </c>
      <c r="B160" t="s">
        <v>8</v>
      </c>
      <c r="C160" t="s">
        <v>12</v>
      </c>
      <c r="D160" t="s">
        <v>16</v>
      </c>
      <c r="E160">
        <v>8</v>
      </c>
      <c r="F160">
        <v>800</v>
      </c>
      <c r="G160">
        <v>6400</v>
      </c>
      <c r="H160">
        <f t="shared" si="4"/>
        <v>1280</v>
      </c>
    </row>
    <row r="161" spans="1:8" x14ac:dyDescent="0.3">
      <c r="A161" s="3">
        <v>44964</v>
      </c>
      <c r="B161" t="s">
        <v>8</v>
      </c>
      <c r="C161" t="s">
        <v>12</v>
      </c>
      <c r="D161" t="s">
        <v>16</v>
      </c>
      <c r="E161">
        <v>8</v>
      </c>
      <c r="F161">
        <v>800</v>
      </c>
      <c r="G161">
        <v>6400</v>
      </c>
      <c r="H161">
        <f t="shared" si="4"/>
        <v>1280</v>
      </c>
    </row>
    <row r="162" spans="1:8" x14ac:dyDescent="0.3">
      <c r="A162" s="3">
        <v>44968</v>
      </c>
      <c r="B162" t="s">
        <v>8</v>
      </c>
      <c r="C162" t="s">
        <v>12</v>
      </c>
      <c r="D162" t="s">
        <v>16</v>
      </c>
      <c r="E162">
        <v>8</v>
      </c>
      <c r="F162">
        <v>800</v>
      </c>
      <c r="G162">
        <v>6400</v>
      </c>
      <c r="H162">
        <f t="shared" ref="H162:H193" si="5">G162*0.2</f>
        <v>1280</v>
      </c>
    </row>
    <row r="163" spans="1:8" x14ac:dyDescent="0.3">
      <c r="A163" s="3">
        <v>44972</v>
      </c>
      <c r="B163" t="s">
        <v>8</v>
      </c>
      <c r="C163" t="s">
        <v>12</v>
      </c>
      <c r="D163" t="s">
        <v>16</v>
      </c>
      <c r="E163">
        <v>8</v>
      </c>
      <c r="F163">
        <v>800</v>
      </c>
      <c r="G163">
        <v>6400</v>
      </c>
      <c r="H163">
        <f t="shared" si="5"/>
        <v>1280</v>
      </c>
    </row>
    <row r="164" spans="1:8" x14ac:dyDescent="0.3">
      <c r="A164" s="3">
        <v>44976</v>
      </c>
      <c r="B164" t="s">
        <v>8</v>
      </c>
      <c r="C164" t="s">
        <v>12</v>
      </c>
      <c r="D164" t="s">
        <v>16</v>
      </c>
      <c r="E164">
        <v>8</v>
      </c>
      <c r="F164">
        <v>800</v>
      </c>
      <c r="G164">
        <v>6400</v>
      </c>
      <c r="H164">
        <f t="shared" si="5"/>
        <v>1280</v>
      </c>
    </row>
    <row r="165" spans="1:8" x14ac:dyDescent="0.3">
      <c r="A165" s="3">
        <v>44980</v>
      </c>
      <c r="B165" t="s">
        <v>8</v>
      </c>
      <c r="C165" t="s">
        <v>12</v>
      </c>
      <c r="D165" t="s">
        <v>16</v>
      </c>
      <c r="E165">
        <v>8</v>
      </c>
      <c r="F165">
        <v>800</v>
      </c>
      <c r="G165">
        <v>6400</v>
      </c>
      <c r="H165">
        <f t="shared" si="5"/>
        <v>1280</v>
      </c>
    </row>
    <row r="166" spans="1:8" x14ac:dyDescent="0.3">
      <c r="A166" s="3">
        <v>44984</v>
      </c>
      <c r="B166" t="s">
        <v>8</v>
      </c>
      <c r="C166" t="s">
        <v>12</v>
      </c>
      <c r="D166" t="s">
        <v>16</v>
      </c>
      <c r="E166">
        <v>8</v>
      </c>
      <c r="F166">
        <v>800</v>
      </c>
      <c r="G166">
        <v>6400</v>
      </c>
      <c r="H166">
        <f t="shared" si="5"/>
        <v>1280</v>
      </c>
    </row>
    <row r="167" spans="1:8" x14ac:dyDescent="0.3">
      <c r="A167" s="3">
        <v>44988</v>
      </c>
      <c r="B167" t="s">
        <v>8</v>
      </c>
      <c r="C167" t="s">
        <v>12</v>
      </c>
      <c r="D167" t="s">
        <v>16</v>
      </c>
      <c r="E167">
        <v>8</v>
      </c>
      <c r="F167">
        <v>800</v>
      </c>
      <c r="G167">
        <v>6400</v>
      </c>
      <c r="H167">
        <f t="shared" si="5"/>
        <v>1280</v>
      </c>
    </row>
    <row r="168" spans="1:8" x14ac:dyDescent="0.3">
      <c r="A168" s="3">
        <v>44992</v>
      </c>
      <c r="B168" t="s">
        <v>8</v>
      </c>
      <c r="C168" t="s">
        <v>12</v>
      </c>
      <c r="D168" t="s">
        <v>16</v>
      </c>
      <c r="E168">
        <v>8</v>
      </c>
      <c r="F168">
        <v>800</v>
      </c>
      <c r="G168">
        <v>6400</v>
      </c>
      <c r="H168">
        <f t="shared" si="5"/>
        <v>1280</v>
      </c>
    </row>
    <row r="169" spans="1:8" x14ac:dyDescent="0.3">
      <c r="A169" s="3">
        <v>44996</v>
      </c>
      <c r="B169" t="s">
        <v>8</v>
      </c>
      <c r="C169" t="s">
        <v>12</v>
      </c>
      <c r="D169" t="s">
        <v>16</v>
      </c>
      <c r="E169">
        <v>8</v>
      </c>
      <c r="F169">
        <v>800</v>
      </c>
      <c r="G169">
        <v>6400</v>
      </c>
      <c r="H169">
        <f t="shared" si="5"/>
        <v>1280</v>
      </c>
    </row>
    <row r="170" spans="1:8" x14ac:dyDescent="0.3">
      <c r="A170" s="3">
        <v>45000</v>
      </c>
      <c r="B170" t="s">
        <v>8</v>
      </c>
      <c r="C170" t="s">
        <v>12</v>
      </c>
      <c r="D170" t="s">
        <v>16</v>
      </c>
      <c r="E170">
        <v>8</v>
      </c>
      <c r="F170">
        <v>800</v>
      </c>
      <c r="G170">
        <v>6400</v>
      </c>
      <c r="H170">
        <f t="shared" si="5"/>
        <v>1280</v>
      </c>
    </row>
    <row r="171" spans="1:8" x14ac:dyDescent="0.3">
      <c r="A171" s="3">
        <v>45004</v>
      </c>
      <c r="B171" t="s">
        <v>8</v>
      </c>
      <c r="C171" t="s">
        <v>12</v>
      </c>
      <c r="D171" t="s">
        <v>16</v>
      </c>
      <c r="E171">
        <v>8</v>
      </c>
      <c r="F171">
        <v>800</v>
      </c>
      <c r="G171">
        <v>6400</v>
      </c>
      <c r="H171">
        <f t="shared" si="5"/>
        <v>1280</v>
      </c>
    </row>
    <row r="172" spans="1:8" x14ac:dyDescent="0.3">
      <c r="A172" s="3">
        <v>45008</v>
      </c>
      <c r="B172" t="s">
        <v>8</v>
      </c>
      <c r="C172" t="s">
        <v>12</v>
      </c>
      <c r="D172" t="s">
        <v>16</v>
      </c>
      <c r="E172">
        <v>8</v>
      </c>
      <c r="F172">
        <v>800</v>
      </c>
      <c r="G172">
        <v>6400</v>
      </c>
      <c r="H172">
        <f t="shared" si="5"/>
        <v>1280</v>
      </c>
    </row>
    <row r="173" spans="1:8" x14ac:dyDescent="0.3">
      <c r="A173" s="3">
        <v>45012</v>
      </c>
      <c r="B173" t="s">
        <v>8</v>
      </c>
      <c r="C173" t="s">
        <v>12</v>
      </c>
      <c r="D173" t="s">
        <v>16</v>
      </c>
      <c r="E173">
        <v>8</v>
      </c>
      <c r="F173">
        <v>800</v>
      </c>
      <c r="G173">
        <v>6400</v>
      </c>
      <c r="H173">
        <f t="shared" si="5"/>
        <v>1280</v>
      </c>
    </row>
    <row r="174" spans="1:8" x14ac:dyDescent="0.3">
      <c r="A174" s="3">
        <v>45016</v>
      </c>
      <c r="B174" t="s">
        <v>8</v>
      </c>
      <c r="C174" t="s">
        <v>12</v>
      </c>
      <c r="D174" t="s">
        <v>16</v>
      </c>
      <c r="E174">
        <v>8</v>
      </c>
      <c r="F174">
        <v>800</v>
      </c>
      <c r="G174">
        <v>6400</v>
      </c>
      <c r="H174">
        <f t="shared" si="5"/>
        <v>1280</v>
      </c>
    </row>
    <row r="175" spans="1:8" x14ac:dyDescent="0.3">
      <c r="A175" s="3">
        <v>45020</v>
      </c>
      <c r="B175" t="s">
        <v>8</v>
      </c>
      <c r="C175" t="s">
        <v>12</v>
      </c>
      <c r="D175" t="s">
        <v>16</v>
      </c>
      <c r="E175">
        <v>8</v>
      </c>
      <c r="F175">
        <v>800</v>
      </c>
      <c r="G175">
        <v>6400</v>
      </c>
      <c r="H175">
        <f t="shared" si="5"/>
        <v>1280</v>
      </c>
    </row>
    <row r="176" spans="1:8" x14ac:dyDescent="0.3">
      <c r="A176" s="3">
        <v>45024</v>
      </c>
      <c r="B176" t="s">
        <v>8</v>
      </c>
      <c r="C176" t="s">
        <v>12</v>
      </c>
      <c r="D176" t="s">
        <v>16</v>
      </c>
      <c r="E176">
        <v>8</v>
      </c>
      <c r="F176">
        <v>800</v>
      </c>
      <c r="G176">
        <v>6400</v>
      </c>
      <c r="H176">
        <f t="shared" si="5"/>
        <v>1280</v>
      </c>
    </row>
    <row r="177" spans="1:8" x14ac:dyDescent="0.3">
      <c r="A177" s="3">
        <v>45028</v>
      </c>
      <c r="B177" t="s">
        <v>8</v>
      </c>
      <c r="C177" t="s">
        <v>12</v>
      </c>
      <c r="D177" t="s">
        <v>16</v>
      </c>
      <c r="E177">
        <v>8</v>
      </c>
      <c r="F177">
        <v>800</v>
      </c>
      <c r="G177">
        <v>6400</v>
      </c>
      <c r="H177">
        <f t="shared" si="5"/>
        <v>1280</v>
      </c>
    </row>
    <row r="178" spans="1:8" x14ac:dyDescent="0.3">
      <c r="A178" s="3">
        <v>45032</v>
      </c>
      <c r="B178" t="s">
        <v>8</v>
      </c>
      <c r="C178" t="s">
        <v>12</v>
      </c>
      <c r="D178" t="s">
        <v>16</v>
      </c>
      <c r="E178">
        <v>8</v>
      </c>
      <c r="F178">
        <v>800</v>
      </c>
      <c r="G178">
        <v>6400</v>
      </c>
      <c r="H178">
        <f t="shared" si="5"/>
        <v>1280</v>
      </c>
    </row>
    <row r="179" spans="1:8" x14ac:dyDescent="0.3">
      <c r="A179" s="3">
        <v>45036</v>
      </c>
      <c r="B179" t="s">
        <v>8</v>
      </c>
      <c r="C179" t="s">
        <v>12</v>
      </c>
      <c r="D179" t="s">
        <v>16</v>
      </c>
      <c r="E179">
        <v>8</v>
      </c>
      <c r="F179">
        <v>800</v>
      </c>
      <c r="G179">
        <v>6400</v>
      </c>
      <c r="H179">
        <f t="shared" si="5"/>
        <v>1280</v>
      </c>
    </row>
    <row r="180" spans="1:8" x14ac:dyDescent="0.3">
      <c r="A180" s="3">
        <v>45040</v>
      </c>
      <c r="B180" t="s">
        <v>8</v>
      </c>
      <c r="C180" t="s">
        <v>12</v>
      </c>
      <c r="D180" t="s">
        <v>16</v>
      </c>
      <c r="E180">
        <v>8</v>
      </c>
      <c r="F180">
        <v>800</v>
      </c>
      <c r="G180">
        <v>6400</v>
      </c>
      <c r="H180">
        <f t="shared" si="5"/>
        <v>1280</v>
      </c>
    </row>
    <row r="181" spans="1:8" x14ac:dyDescent="0.3">
      <c r="A181" s="3">
        <v>45044</v>
      </c>
      <c r="B181" t="s">
        <v>8</v>
      </c>
      <c r="C181" t="s">
        <v>12</v>
      </c>
      <c r="D181" t="s">
        <v>16</v>
      </c>
      <c r="E181">
        <v>8</v>
      </c>
      <c r="F181">
        <v>800</v>
      </c>
      <c r="G181">
        <v>6400</v>
      </c>
      <c r="H181">
        <f t="shared" si="5"/>
        <v>1280</v>
      </c>
    </row>
    <row r="182" spans="1:8" x14ac:dyDescent="0.3">
      <c r="A182" s="3">
        <v>45048</v>
      </c>
      <c r="B182" t="s">
        <v>8</v>
      </c>
      <c r="C182" t="s">
        <v>12</v>
      </c>
      <c r="D182" t="s">
        <v>16</v>
      </c>
      <c r="E182">
        <v>8</v>
      </c>
      <c r="F182">
        <v>800</v>
      </c>
      <c r="G182">
        <v>6400</v>
      </c>
      <c r="H182">
        <f t="shared" si="5"/>
        <v>1280</v>
      </c>
    </row>
    <row r="183" spans="1:8" x14ac:dyDescent="0.3">
      <c r="A183" s="3">
        <v>45052</v>
      </c>
      <c r="B183" t="s">
        <v>8</v>
      </c>
      <c r="C183" t="s">
        <v>12</v>
      </c>
      <c r="D183" t="s">
        <v>16</v>
      </c>
      <c r="E183">
        <v>8</v>
      </c>
      <c r="F183">
        <v>800</v>
      </c>
      <c r="G183">
        <v>6400</v>
      </c>
      <c r="H183">
        <f t="shared" si="5"/>
        <v>1280</v>
      </c>
    </row>
    <row r="184" spans="1:8" x14ac:dyDescent="0.3">
      <c r="A184" s="3">
        <v>45056</v>
      </c>
      <c r="B184" t="s">
        <v>8</v>
      </c>
      <c r="C184" t="s">
        <v>12</v>
      </c>
      <c r="D184" t="s">
        <v>16</v>
      </c>
      <c r="E184">
        <v>8</v>
      </c>
      <c r="F184">
        <v>800</v>
      </c>
      <c r="G184">
        <v>6400</v>
      </c>
      <c r="H184">
        <f t="shared" si="5"/>
        <v>1280</v>
      </c>
    </row>
    <row r="185" spans="1:8" x14ac:dyDescent="0.3">
      <c r="A185" s="3">
        <v>45060</v>
      </c>
      <c r="B185" t="s">
        <v>8</v>
      </c>
      <c r="C185" t="s">
        <v>12</v>
      </c>
      <c r="D185" t="s">
        <v>16</v>
      </c>
      <c r="E185">
        <v>8</v>
      </c>
      <c r="F185">
        <v>800</v>
      </c>
      <c r="G185">
        <v>6400</v>
      </c>
      <c r="H185">
        <f t="shared" si="5"/>
        <v>1280</v>
      </c>
    </row>
    <row r="186" spans="1:8" x14ac:dyDescent="0.3">
      <c r="A186" s="3">
        <v>45064</v>
      </c>
      <c r="B186" t="s">
        <v>8</v>
      </c>
      <c r="C186" t="s">
        <v>12</v>
      </c>
      <c r="D186" t="s">
        <v>16</v>
      </c>
      <c r="E186">
        <v>8</v>
      </c>
      <c r="F186">
        <v>800</v>
      </c>
      <c r="G186">
        <v>6400</v>
      </c>
      <c r="H186">
        <f t="shared" si="5"/>
        <v>1280</v>
      </c>
    </row>
    <row r="187" spans="1:8" x14ac:dyDescent="0.3">
      <c r="A187" s="3">
        <v>45068</v>
      </c>
      <c r="B187" t="s">
        <v>8</v>
      </c>
      <c r="C187" t="s">
        <v>12</v>
      </c>
      <c r="D187" t="s">
        <v>16</v>
      </c>
      <c r="E187">
        <v>8</v>
      </c>
      <c r="F187">
        <v>800</v>
      </c>
      <c r="G187">
        <v>6400</v>
      </c>
      <c r="H187">
        <f t="shared" si="5"/>
        <v>1280</v>
      </c>
    </row>
    <row r="188" spans="1:8" x14ac:dyDescent="0.3">
      <c r="A188" s="3">
        <v>45072</v>
      </c>
      <c r="B188" t="s">
        <v>8</v>
      </c>
      <c r="C188" t="s">
        <v>12</v>
      </c>
      <c r="D188" t="s">
        <v>16</v>
      </c>
      <c r="E188">
        <v>8</v>
      </c>
      <c r="F188">
        <v>800</v>
      </c>
      <c r="G188">
        <v>6400</v>
      </c>
      <c r="H188">
        <f t="shared" si="5"/>
        <v>1280</v>
      </c>
    </row>
    <row r="189" spans="1:8" x14ac:dyDescent="0.3">
      <c r="A189" s="3">
        <v>45076</v>
      </c>
      <c r="B189" t="s">
        <v>8</v>
      </c>
      <c r="C189" t="s">
        <v>12</v>
      </c>
      <c r="D189" t="s">
        <v>16</v>
      </c>
      <c r="E189">
        <v>8</v>
      </c>
      <c r="F189">
        <v>800</v>
      </c>
      <c r="G189">
        <v>6400</v>
      </c>
      <c r="H189">
        <f t="shared" si="5"/>
        <v>1280</v>
      </c>
    </row>
    <row r="190" spans="1:8" x14ac:dyDescent="0.3">
      <c r="A190" s="3">
        <v>45080</v>
      </c>
      <c r="B190" t="s">
        <v>8</v>
      </c>
      <c r="C190" t="s">
        <v>12</v>
      </c>
      <c r="D190" t="s">
        <v>16</v>
      </c>
      <c r="E190">
        <v>8</v>
      </c>
      <c r="F190">
        <v>800</v>
      </c>
      <c r="G190">
        <v>6400</v>
      </c>
      <c r="H190">
        <f t="shared" si="5"/>
        <v>1280</v>
      </c>
    </row>
    <row r="191" spans="1:8" x14ac:dyDescent="0.3">
      <c r="A191" s="3">
        <v>45084</v>
      </c>
      <c r="B191" t="s">
        <v>8</v>
      </c>
      <c r="C191" t="s">
        <v>12</v>
      </c>
      <c r="D191" t="s">
        <v>16</v>
      </c>
      <c r="E191">
        <v>8</v>
      </c>
      <c r="F191">
        <v>800</v>
      </c>
      <c r="G191">
        <v>6400</v>
      </c>
      <c r="H191">
        <f t="shared" si="5"/>
        <v>1280</v>
      </c>
    </row>
    <row r="192" spans="1:8" x14ac:dyDescent="0.3">
      <c r="A192" s="3">
        <v>45088</v>
      </c>
      <c r="B192" t="s">
        <v>8</v>
      </c>
      <c r="C192" t="s">
        <v>12</v>
      </c>
      <c r="D192" t="s">
        <v>16</v>
      </c>
      <c r="E192">
        <v>8</v>
      </c>
      <c r="F192">
        <v>800</v>
      </c>
      <c r="G192">
        <v>6400</v>
      </c>
      <c r="H192">
        <f t="shared" si="5"/>
        <v>1280</v>
      </c>
    </row>
    <row r="193" spans="1:8" x14ac:dyDescent="0.3">
      <c r="A193" s="3">
        <v>45092</v>
      </c>
      <c r="B193" t="s">
        <v>8</v>
      </c>
      <c r="C193" t="s">
        <v>12</v>
      </c>
      <c r="D193" t="s">
        <v>16</v>
      </c>
      <c r="E193">
        <v>8</v>
      </c>
      <c r="F193">
        <v>800</v>
      </c>
      <c r="G193">
        <v>6400</v>
      </c>
      <c r="H193">
        <f t="shared" si="5"/>
        <v>1280</v>
      </c>
    </row>
    <row r="194" spans="1:8" x14ac:dyDescent="0.3">
      <c r="A194" s="3">
        <v>45096</v>
      </c>
      <c r="B194" t="s">
        <v>8</v>
      </c>
      <c r="C194" t="s">
        <v>12</v>
      </c>
      <c r="D194" t="s">
        <v>16</v>
      </c>
      <c r="E194">
        <v>8</v>
      </c>
      <c r="F194">
        <v>800</v>
      </c>
      <c r="G194">
        <v>6400</v>
      </c>
      <c r="H194">
        <f t="shared" ref="H194:H225" si="6">G194*0.2</f>
        <v>1280</v>
      </c>
    </row>
    <row r="195" spans="1:8" x14ac:dyDescent="0.3">
      <c r="A195" s="3">
        <v>45100</v>
      </c>
      <c r="B195" t="s">
        <v>8</v>
      </c>
      <c r="C195" t="s">
        <v>12</v>
      </c>
      <c r="D195" t="s">
        <v>16</v>
      </c>
      <c r="E195">
        <v>8</v>
      </c>
      <c r="F195">
        <v>800</v>
      </c>
      <c r="G195">
        <v>6400</v>
      </c>
      <c r="H195">
        <f t="shared" si="6"/>
        <v>1280</v>
      </c>
    </row>
    <row r="196" spans="1:8" x14ac:dyDescent="0.3">
      <c r="A196" s="3">
        <v>45104</v>
      </c>
      <c r="B196" t="s">
        <v>8</v>
      </c>
      <c r="C196" t="s">
        <v>12</v>
      </c>
      <c r="D196" t="s">
        <v>16</v>
      </c>
      <c r="E196">
        <v>8</v>
      </c>
      <c r="F196">
        <v>800</v>
      </c>
      <c r="G196">
        <v>6400</v>
      </c>
      <c r="H196">
        <f t="shared" si="6"/>
        <v>1280</v>
      </c>
    </row>
    <row r="197" spans="1:8" x14ac:dyDescent="0.3">
      <c r="A197" s="3">
        <v>45108</v>
      </c>
      <c r="B197" t="s">
        <v>8</v>
      </c>
      <c r="C197" t="s">
        <v>12</v>
      </c>
      <c r="D197" t="s">
        <v>16</v>
      </c>
      <c r="E197">
        <v>8</v>
      </c>
      <c r="F197">
        <v>800</v>
      </c>
      <c r="G197">
        <v>6400</v>
      </c>
      <c r="H197">
        <f t="shared" si="6"/>
        <v>1280</v>
      </c>
    </row>
    <row r="198" spans="1:8" x14ac:dyDescent="0.3">
      <c r="A198" s="3">
        <v>45112</v>
      </c>
      <c r="B198" t="s">
        <v>8</v>
      </c>
      <c r="C198" t="s">
        <v>12</v>
      </c>
      <c r="D198" t="s">
        <v>16</v>
      </c>
      <c r="E198">
        <v>8</v>
      </c>
      <c r="F198">
        <v>800</v>
      </c>
      <c r="G198">
        <v>6400</v>
      </c>
      <c r="H198">
        <f t="shared" si="6"/>
        <v>1280</v>
      </c>
    </row>
    <row r="199" spans="1:8" x14ac:dyDescent="0.3">
      <c r="A199" s="3">
        <v>45116</v>
      </c>
      <c r="B199" t="s">
        <v>8</v>
      </c>
      <c r="C199" t="s">
        <v>12</v>
      </c>
      <c r="D199" t="s">
        <v>16</v>
      </c>
      <c r="E199">
        <v>8</v>
      </c>
      <c r="F199">
        <v>800</v>
      </c>
      <c r="G199">
        <v>6400</v>
      </c>
      <c r="H199">
        <f t="shared" si="6"/>
        <v>1280</v>
      </c>
    </row>
    <row r="200" spans="1:8" x14ac:dyDescent="0.3">
      <c r="A200" s="3">
        <v>45120</v>
      </c>
      <c r="B200" t="s">
        <v>8</v>
      </c>
      <c r="C200" t="s">
        <v>12</v>
      </c>
      <c r="D200" t="s">
        <v>16</v>
      </c>
      <c r="E200">
        <v>8</v>
      </c>
      <c r="F200">
        <v>800</v>
      </c>
      <c r="G200">
        <v>6400</v>
      </c>
      <c r="H200">
        <f t="shared" si="6"/>
        <v>1280</v>
      </c>
    </row>
    <row r="201" spans="1:8" x14ac:dyDescent="0.3">
      <c r="A201" s="3">
        <v>45124</v>
      </c>
      <c r="B201" t="s">
        <v>8</v>
      </c>
      <c r="C201" t="s">
        <v>12</v>
      </c>
      <c r="D201" t="s">
        <v>16</v>
      </c>
      <c r="E201">
        <v>8</v>
      </c>
      <c r="F201">
        <v>800</v>
      </c>
      <c r="G201">
        <v>6400</v>
      </c>
      <c r="H201">
        <f t="shared" si="6"/>
        <v>1280</v>
      </c>
    </row>
    <row r="202" spans="1:8" x14ac:dyDescent="0.3">
      <c r="E202" s="9">
        <f>SUM(E2:E201)</f>
        <v>1400</v>
      </c>
      <c r="F202" s="9">
        <f>AVERAGE(F2:F201)</f>
        <v>12790</v>
      </c>
      <c r="G202" s="9">
        <f>SUM(G2:G201)</f>
        <v>12901000</v>
      </c>
      <c r="H202" s="9">
        <f>SUM(H2:H201)</f>
        <v>2580200</v>
      </c>
    </row>
  </sheetData>
  <sortState xmlns:xlrd2="http://schemas.microsoft.com/office/spreadsheetml/2017/richdata2" ref="A2:H202">
    <sortCondition ref="D1:D202"/>
  </sortState>
  <dataValidations count="1">
    <dataValidation type="list" allowBlank="1" showInputMessage="1" showErrorMessage="1" sqref="L2" xr:uid="{9AA5C81A-FECE-4C98-8BEA-3A17E0A88C8C}">
      <formula1>$K$2:$K$5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ED5E-D28F-4DC5-95AE-8A073083B2EF}">
  <dimension ref="A1:P209"/>
  <sheetViews>
    <sheetView zoomScale="45" zoomScaleNormal="100" workbookViewId="0">
      <selection activeCell="W18" sqref="W18"/>
    </sheetView>
  </sheetViews>
  <sheetFormatPr defaultRowHeight="14.4" x14ac:dyDescent="0.3"/>
  <cols>
    <col min="1" max="1" width="19.21875" bestFit="1" customWidth="1"/>
    <col min="2" max="2" width="24.77734375" bestFit="1" customWidth="1"/>
    <col min="3" max="3" width="8" bestFit="1" customWidth="1"/>
    <col min="4" max="4" width="19.21875" bestFit="1" customWidth="1"/>
    <col min="5" max="5" width="24.77734375" bestFit="1" customWidth="1"/>
    <col min="6" max="6" width="8" bestFit="1" customWidth="1"/>
    <col min="7" max="7" width="19.21875" bestFit="1" customWidth="1"/>
    <col min="8" max="8" width="24.77734375" bestFit="1" customWidth="1"/>
    <col min="9" max="9" width="8" bestFit="1" customWidth="1"/>
    <col min="10" max="10" width="19.21875" bestFit="1" customWidth="1"/>
    <col min="11" max="11" width="24.77734375" bestFit="1" customWidth="1"/>
    <col min="12" max="12" width="9.77734375" bestFit="1" customWidth="1"/>
    <col min="13" max="13" width="19.21875" bestFit="1" customWidth="1"/>
    <col min="14" max="14" width="23.21875" bestFit="1" customWidth="1"/>
    <col min="15" max="15" width="20.88671875" bestFit="1" customWidth="1"/>
    <col min="16" max="32" width="9.77734375" bestFit="1" customWidth="1"/>
    <col min="33" max="41" width="8.77734375" bestFit="1" customWidth="1"/>
    <col min="42" max="60" width="9.77734375" bestFit="1" customWidth="1"/>
    <col min="61" max="69" width="8.77734375" bestFit="1" customWidth="1"/>
    <col min="70" max="91" width="9.77734375" bestFit="1" customWidth="1"/>
    <col min="92" max="100" width="8.77734375" bestFit="1" customWidth="1"/>
    <col min="101" max="121" width="9.77734375" bestFit="1" customWidth="1"/>
    <col min="122" max="130" width="8.77734375" bestFit="1" customWidth="1"/>
    <col min="131" max="152" width="9.77734375" bestFit="1" customWidth="1"/>
    <col min="153" max="161" width="8.77734375" bestFit="1" customWidth="1"/>
    <col min="162" max="182" width="9.77734375" bestFit="1" customWidth="1"/>
    <col min="183" max="191" width="8.77734375" bestFit="1" customWidth="1"/>
    <col min="192" max="201" width="9.77734375" bestFit="1" customWidth="1"/>
    <col min="202" max="202" width="7" bestFit="1" customWidth="1"/>
    <col min="203" max="203" width="10.77734375" bestFit="1" customWidth="1"/>
  </cols>
  <sheetData>
    <row r="1" spans="1:16" ht="18" x14ac:dyDescent="0.35">
      <c r="A1" s="7"/>
      <c r="B1" s="7"/>
      <c r="C1" s="7"/>
      <c r="D1" s="7"/>
      <c r="E1" s="7"/>
      <c r="F1" s="7"/>
      <c r="G1" s="7"/>
      <c r="H1" s="11"/>
      <c r="I1" s="11"/>
      <c r="J1" s="7"/>
      <c r="K1" s="7"/>
      <c r="L1" s="7"/>
      <c r="M1" s="7"/>
      <c r="N1" s="7"/>
      <c r="O1" s="7"/>
      <c r="P1" s="7"/>
    </row>
    <row r="2" spans="1:16" ht="18" x14ac:dyDescent="0.35">
      <c r="A2" s="10" t="s">
        <v>31</v>
      </c>
      <c r="B2" s="10"/>
      <c r="C2" s="6"/>
      <c r="D2" s="10" t="s">
        <v>34</v>
      </c>
      <c r="E2" s="10"/>
      <c r="F2" s="6"/>
      <c r="G2" s="10" t="s">
        <v>35</v>
      </c>
      <c r="H2" s="10"/>
      <c r="J2" s="10" t="s">
        <v>36</v>
      </c>
      <c r="K2" s="10"/>
      <c r="M2" s="10" t="s">
        <v>37</v>
      </c>
      <c r="N2" s="10"/>
    </row>
    <row r="3" spans="1:16" ht="15" thickBot="1" x14ac:dyDescent="0.35">
      <c r="A3" s="15" t="s">
        <v>29</v>
      </c>
      <c r="B3" s="15" t="s">
        <v>20</v>
      </c>
      <c r="D3" s="15" t="s">
        <v>29</v>
      </c>
      <c r="E3" s="15" t="s">
        <v>20</v>
      </c>
      <c r="G3" s="15" t="s">
        <v>29</v>
      </c>
      <c r="H3" s="15" t="s">
        <v>20</v>
      </c>
      <c r="J3" s="15" t="s">
        <v>29</v>
      </c>
      <c r="K3" s="15" t="s">
        <v>20</v>
      </c>
      <c r="M3" s="15" t="s">
        <v>29</v>
      </c>
      <c r="N3" s="15" t="s">
        <v>30</v>
      </c>
    </row>
    <row r="4" spans="1:16" x14ac:dyDescent="0.3">
      <c r="A4" s="13" t="s">
        <v>22</v>
      </c>
      <c r="B4" s="14">
        <v>2063260</v>
      </c>
      <c r="D4" s="13" t="s">
        <v>12</v>
      </c>
      <c r="E4" s="14">
        <v>320000</v>
      </c>
      <c r="G4" s="13" t="s">
        <v>9</v>
      </c>
      <c r="H4" s="14">
        <v>36000</v>
      </c>
      <c r="J4" s="13" t="s">
        <v>18</v>
      </c>
      <c r="K4" s="14">
        <v>45000</v>
      </c>
      <c r="M4" s="13" t="s">
        <v>12</v>
      </c>
      <c r="N4" s="14">
        <v>400</v>
      </c>
    </row>
    <row r="5" spans="1:16" x14ac:dyDescent="0.3">
      <c r="A5" s="13" t="s">
        <v>23</v>
      </c>
      <c r="B5" s="14">
        <v>1806140</v>
      </c>
      <c r="D5" s="13" t="s">
        <v>11</v>
      </c>
      <c r="E5" s="14">
        <v>12500000</v>
      </c>
      <c r="G5" s="13" t="s">
        <v>7</v>
      </c>
      <c r="H5" s="14">
        <v>12500000</v>
      </c>
      <c r="J5" s="13" t="s">
        <v>15</v>
      </c>
      <c r="K5" s="14">
        <v>12500000</v>
      </c>
      <c r="M5" s="13" t="s">
        <v>11</v>
      </c>
      <c r="N5" s="14">
        <v>250</v>
      </c>
    </row>
    <row r="6" spans="1:16" x14ac:dyDescent="0.3">
      <c r="A6" s="13" t="s">
        <v>24</v>
      </c>
      <c r="B6" s="14">
        <v>2063440</v>
      </c>
      <c r="D6" s="13" t="s">
        <v>13</v>
      </c>
      <c r="E6" s="14">
        <v>36000</v>
      </c>
      <c r="G6" s="13" t="s">
        <v>8</v>
      </c>
      <c r="H6" s="14">
        <v>320000</v>
      </c>
      <c r="J6" s="13" t="s">
        <v>17</v>
      </c>
      <c r="K6" s="14">
        <v>36000</v>
      </c>
      <c r="M6" s="13" t="s">
        <v>13</v>
      </c>
      <c r="N6" s="14">
        <v>600</v>
      </c>
    </row>
    <row r="7" spans="1:16" ht="15" thickBot="1" x14ac:dyDescent="0.35">
      <c r="A7" s="13" t="s">
        <v>25</v>
      </c>
      <c r="B7" s="14">
        <v>1807760</v>
      </c>
      <c r="D7" s="13" t="s">
        <v>14</v>
      </c>
      <c r="E7" s="14">
        <v>45000</v>
      </c>
      <c r="G7" s="13" t="s">
        <v>10</v>
      </c>
      <c r="H7" s="14">
        <v>45000</v>
      </c>
      <c r="J7" s="13" t="s">
        <v>16</v>
      </c>
      <c r="K7" s="14">
        <v>320000</v>
      </c>
      <c r="M7" s="13" t="s">
        <v>14</v>
      </c>
      <c r="N7" s="14">
        <v>150</v>
      </c>
    </row>
    <row r="8" spans="1:16" x14ac:dyDescent="0.3">
      <c r="A8" s="13" t="s">
        <v>26</v>
      </c>
      <c r="B8" s="14">
        <v>2063260</v>
      </c>
      <c r="D8" s="16" t="s">
        <v>21</v>
      </c>
      <c r="E8" s="17">
        <v>12901000</v>
      </c>
      <c r="G8" s="16" t="s">
        <v>21</v>
      </c>
      <c r="H8" s="17">
        <v>12901000</v>
      </c>
      <c r="J8" s="16" t="s">
        <v>21</v>
      </c>
      <c r="K8" s="17">
        <v>12901000</v>
      </c>
      <c r="M8" s="16" t="s">
        <v>21</v>
      </c>
      <c r="N8" s="17">
        <v>1400</v>
      </c>
    </row>
    <row r="9" spans="1:16" ht="18" x14ac:dyDescent="0.35">
      <c r="A9" s="13" t="s">
        <v>27</v>
      </c>
      <c r="B9" s="14">
        <v>2057040</v>
      </c>
      <c r="F9" s="6"/>
      <c r="I9" s="6"/>
      <c r="P9" s="6"/>
    </row>
    <row r="10" spans="1:16" ht="18.600000000000001" thickBot="1" x14ac:dyDescent="0.4">
      <c r="A10" s="13" t="s">
        <v>28</v>
      </c>
      <c r="B10" s="14">
        <v>1040100</v>
      </c>
      <c r="F10" s="6"/>
      <c r="I10" s="6"/>
      <c r="O10" s="6"/>
      <c r="P10" s="6"/>
    </row>
    <row r="11" spans="1:16" ht="18" x14ac:dyDescent="0.35">
      <c r="A11" s="16" t="s">
        <v>21</v>
      </c>
      <c r="B11" s="17">
        <v>12901000</v>
      </c>
      <c r="F11" s="6"/>
      <c r="I11" s="6"/>
      <c r="O11" s="6"/>
      <c r="P11" s="6"/>
    </row>
    <row r="12" spans="1:16" ht="18" x14ac:dyDescent="0.35">
      <c r="F12" s="6"/>
      <c r="I12" s="6"/>
      <c r="O12" s="6"/>
      <c r="P12" s="6"/>
    </row>
    <row r="13" spans="1:16" ht="25.8" x14ac:dyDescent="0.5">
      <c r="D13" s="8"/>
      <c r="E13" s="8"/>
      <c r="F13" s="8"/>
      <c r="G13" s="8"/>
      <c r="H13" s="8"/>
      <c r="I13" s="8"/>
      <c r="O13" s="8"/>
    </row>
    <row r="14" spans="1:16" ht="18" x14ac:dyDescent="0.35"/>
    <row r="15" spans="1:16" ht="18" x14ac:dyDescent="0.35"/>
    <row r="16" spans="1:16" ht="18" x14ac:dyDescent="0.35"/>
    <row r="17" ht="18" x14ac:dyDescent="0.35"/>
    <row r="18" ht="18" x14ac:dyDescent="0.35"/>
    <row r="19" ht="18" x14ac:dyDescent="0.35"/>
    <row r="20" ht="18" x14ac:dyDescent="0.35"/>
    <row r="21" ht="18" x14ac:dyDescent="0.35"/>
    <row r="22" ht="18" x14ac:dyDescent="0.35"/>
    <row r="23" ht="18" x14ac:dyDescent="0.35"/>
    <row r="24" ht="18" x14ac:dyDescent="0.35"/>
    <row r="25" ht="18" x14ac:dyDescent="0.35"/>
    <row r="26" ht="18" x14ac:dyDescent="0.35"/>
    <row r="27" ht="18" x14ac:dyDescent="0.35"/>
    <row r="28" ht="18" x14ac:dyDescent="0.35"/>
    <row r="29" ht="18" x14ac:dyDescent="0.35"/>
    <row r="30" ht="18" x14ac:dyDescent="0.35"/>
    <row r="31" ht="18" x14ac:dyDescent="0.35"/>
    <row r="32" ht="18" x14ac:dyDescent="0.35"/>
    <row r="33" ht="18" x14ac:dyDescent="0.35"/>
    <row r="34" ht="18" x14ac:dyDescent="0.35"/>
    <row r="35" ht="18" x14ac:dyDescent="0.35"/>
    <row r="36" ht="18" x14ac:dyDescent="0.35"/>
    <row r="37" ht="18" x14ac:dyDescent="0.35"/>
    <row r="38" ht="18" x14ac:dyDescent="0.35"/>
    <row r="39" ht="18" x14ac:dyDescent="0.35"/>
    <row r="40" ht="18" x14ac:dyDescent="0.35"/>
    <row r="41" ht="18" x14ac:dyDescent="0.35"/>
    <row r="42" ht="18" x14ac:dyDescent="0.35"/>
    <row r="43" ht="18" x14ac:dyDescent="0.35"/>
    <row r="44" ht="18" x14ac:dyDescent="0.35"/>
    <row r="45" ht="18" x14ac:dyDescent="0.35"/>
    <row r="46" ht="18" x14ac:dyDescent="0.35"/>
    <row r="47" ht="18" x14ac:dyDescent="0.35"/>
    <row r="48" ht="18" x14ac:dyDescent="0.35"/>
    <row r="49" ht="18" x14ac:dyDescent="0.35"/>
    <row r="50" ht="18" x14ac:dyDescent="0.35"/>
    <row r="51" ht="18" x14ac:dyDescent="0.35"/>
    <row r="52" ht="18" x14ac:dyDescent="0.35"/>
    <row r="53" ht="18" x14ac:dyDescent="0.35"/>
    <row r="54" ht="18" x14ac:dyDescent="0.35"/>
    <row r="55" ht="18" x14ac:dyDescent="0.35"/>
    <row r="56" ht="18" x14ac:dyDescent="0.35"/>
    <row r="57" ht="18" x14ac:dyDescent="0.35"/>
    <row r="58" ht="18" x14ac:dyDescent="0.35"/>
    <row r="59" ht="18" x14ac:dyDescent="0.35"/>
    <row r="60" ht="18" x14ac:dyDescent="0.35"/>
    <row r="61" ht="18" x14ac:dyDescent="0.35"/>
    <row r="209" ht="15" thickBot="1" x14ac:dyDescent="0.35"/>
  </sheetData>
  <mergeCells count="6">
    <mergeCell ref="H1:I1"/>
    <mergeCell ref="J2:K2"/>
    <mergeCell ref="M2:N2"/>
    <mergeCell ref="A2:B2"/>
    <mergeCell ref="D2:E2"/>
    <mergeCell ref="G2:H2"/>
  </mergeCells>
  <pageMargins left="0.7" right="0.7" top="0.75" bottom="0.75" header="0.3" footer="0.3"/>
  <pageSetup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E8B7-4DAA-4F47-A13C-66B665B54878}">
  <dimension ref="A1:Q73"/>
  <sheetViews>
    <sheetView tabSelected="1" topLeftCell="B1" zoomScale="41" zoomScaleNormal="96" workbookViewId="0">
      <selection activeCell="AS36" sqref="AS36"/>
    </sheetView>
  </sheetViews>
  <sheetFormatPr defaultRowHeight="14.4" x14ac:dyDescent="0.3"/>
  <cols>
    <col min="1" max="1" width="14.77734375" hidden="1" customWidth="1"/>
    <col min="2" max="2" width="13.33203125" bestFit="1" customWidth="1"/>
    <col min="13" max="13" width="7.109375" customWidth="1"/>
    <col min="17" max="17" width="14.33203125" customWidth="1"/>
  </cols>
  <sheetData>
    <row r="1" spans="1:17" x14ac:dyDescent="0.3">
      <c r="A1" s="18"/>
    </row>
    <row r="2" spans="1:17" ht="25.8" x14ac:dyDescent="0.5">
      <c r="N2" s="12" t="s">
        <v>32</v>
      </c>
      <c r="O2" s="12"/>
      <c r="P2" s="12"/>
      <c r="Q2" s="12"/>
    </row>
    <row r="4" spans="1:17" x14ac:dyDescent="0.3">
      <c r="B4" s="5"/>
    </row>
    <row r="5" spans="1:17" ht="15.6" x14ac:dyDescent="0.3">
      <c r="B5" s="19" t="s">
        <v>33</v>
      </c>
    </row>
    <row r="14" spans="1:17" ht="25.8" x14ac:dyDescent="0.5">
      <c r="A14" s="8"/>
      <c r="B14" s="8"/>
    </row>
    <row r="71" spans="1:1" x14ac:dyDescent="0.3">
      <c r="A71" s="18">
        <f>SUM('Cleaned sales data'!G2:G201)</f>
        <v>12901000</v>
      </c>
    </row>
    <row r="72" spans="1:1" x14ac:dyDescent="0.3">
      <c r="A72">
        <f>SUM('Cleaned sales data'!E2:E201)</f>
        <v>1400</v>
      </c>
    </row>
    <row r="73" spans="1:1" x14ac:dyDescent="0.3">
      <c r="A73" s="18">
        <f>AVERAGE('Cleaned sales data'!F2:F201)</f>
        <v>12790</v>
      </c>
    </row>
  </sheetData>
  <mergeCells count="1">
    <mergeCell ref="N2: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sales data</vt:lpstr>
      <vt:lpstr>Cleaned sales data</vt:lpstr>
      <vt:lpstr>Pivort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Janvi G</dc:creator>
  <cp:lastModifiedBy>Janvi G</cp:lastModifiedBy>
  <dcterms:created xsi:type="dcterms:W3CDTF">2025-11-30T05:54:32Z</dcterms:created>
  <dcterms:modified xsi:type="dcterms:W3CDTF">2025-12-02T06:44:40Z</dcterms:modified>
</cp:coreProperties>
</file>